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\Temp\"/>
    </mc:Choice>
  </mc:AlternateContent>
  <xr:revisionPtr revIDLastSave="0" documentId="8_{B095433F-6946-46C4-A6B5-39DC2518FDB5}" xr6:coauthVersionLast="47" xr6:coauthVersionMax="47" xr10:uidLastSave="{00000000-0000-0000-0000-000000000000}"/>
  <bookViews>
    <workbookView xWindow="-120" yWindow="-120" windowWidth="29040" windowHeight="15840" xr2:uid="{A202B21C-2E93-42EA-B5D0-8344F714D699}"/>
  </bookViews>
  <sheets>
    <sheet name="上海移动" sheetId="1" r:id="rId1"/>
  </sheets>
  <externalReferences>
    <externalReference r:id="rId2"/>
  </externalReferences>
  <definedNames>
    <definedName name="_xlnm._FilterDatabase" localSheetId="0" hidden="1">上海移动!$A$1:$L$171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1" i="1" l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<sst xmlns="http://schemas.openxmlformats.org/spreadsheetml/2006/main" count="1542" uniqueCount="331">
  <si>
    <t>播放地址</t>
    <phoneticPr fontId="2" type="noConversion"/>
  </si>
  <si>
    <t>tvg-id</t>
    <phoneticPr fontId="2" type="noConversion"/>
  </si>
  <si>
    <t>tvg-name</t>
  </si>
  <si>
    <t>Logo链接</t>
  </si>
  <si>
    <t>频道分类</t>
  </si>
  <si>
    <t>视频分辨率</t>
    <phoneticPr fontId="2" type="noConversion"/>
  </si>
  <si>
    <t>视频码率</t>
    <phoneticPr fontId="2" type="noConversion"/>
  </si>
  <si>
    <t>视频格式</t>
    <phoneticPr fontId="2" type="noConversion"/>
  </si>
  <si>
    <t>视频帧率</t>
    <phoneticPr fontId="2" type="noConversion"/>
  </si>
  <si>
    <t>音频格式</t>
    <phoneticPr fontId="2" type="noConversion"/>
  </si>
  <si>
    <t>音频采样率</t>
    <phoneticPr fontId="2" type="noConversion"/>
  </si>
  <si>
    <t>音频声道</t>
    <phoneticPr fontId="2" type="noConversion"/>
  </si>
  <si>
    <t>http://iptvrr.sh.chinamobile.com:6060/cms001/ch00000090990000001001/index.m3u8</t>
  </si>
  <si>
    <t>CCTV1</t>
    <phoneticPr fontId="2" type="noConversion"/>
  </si>
  <si>
    <t>720x576</t>
  </si>
  <si>
    <t>2Mbps</t>
  </si>
  <si>
    <t>H264</t>
  </si>
  <si>
    <t>25FPS</t>
  </si>
  <si>
    <t>MP2</t>
  </si>
  <si>
    <t>48000Hz</t>
  </si>
  <si>
    <t>立体声</t>
  </si>
  <si>
    <t>http://iptvrr.sh.chinamobile.com:6060/cms001/ch00000090990000001005/index.m3u8</t>
  </si>
  <si>
    <t>上海都市</t>
    <phoneticPr fontId="2" type="noConversion"/>
  </si>
  <si>
    <t>http://iptvrr.sh.chinamobile.com:6060/cms001/ch00000090990000001006/index.m3u8</t>
  </si>
  <si>
    <t>上海新闻综合</t>
    <phoneticPr fontId="2" type="noConversion"/>
  </si>
  <si>
    <t>http://iptvrr.sh.chinamobile.com:6060/cms001/ch00000090990000001007/index.m3u8</t>
  </si>
  <si>
    <t>浙江卫视</t>
    <phoneticPr fontId="2" type="noConversion"/>
  </si>
  <si>
    <t>http://iptvrr.sh.chinamobile.com:6060/cms001/ch00000090990000001008/index.m3u8</t>
  </si>
  <si>
    <t>东方卫视</t>
    <phoneticPr fontId="2" type="noConversion"/>
  </si>
  <si>
    <t>http://iptvrr.sh.chinamobile.com:6060/cms001/ch00000090990000001009/index.m3u8</t>
  </si>
  <si>
    <t>CCTV10</t>
    <phoneticPr fontId="2" type="noConversion"/>
  </si>
  <si>
    <t>http://iptvrr.sh.chinamobile.com:6060/cms001/ch00000090990000001010/index.m3u8</t>
  </si>
  <si>
    <t>CCTV7</t>
    <phoneticPr fontId="2" type="noConversion"/>
  </si>
  <si>
    <t>http://iptvrr.sh.chinamobile.com:6060/cms001/ch00000090990000001011/index.m3u8</t>
  </si>
  <si>
    <t>CCTV4</t>
    <phoneticPr fontId="2" type="noConversion"/>
  </si>
  <si>
    <t>http://iptvrr.sh.chinamobile.com:6060/cms001/ch00000090990000001012/index.m3u8</t>
  </si>
  <si>
    <t>CCTV2</t>
    <phoneticPr fontId="2" type="noConversion"/>
  </si>
  <si>
    <t>http://iptvrr.sh.chinamobile.com:6060/cms001/ch00000090990000001013/index.m3u8</t>
  </si>
  <si>
    <t>东方卫视</t>
  </si>
  <si>
    <t>1920x1080</t>
  </si>
  <si>
    <t>8Mbps</t>
  </si>
  <si>
    <t>http://iptvrr.sh.chinamobile.com:6060/cms001/ch00000090990000001014/index.m3u8</t>
  </si>
  <si>
    <t>http://iptvrr.sh.chinamobile.com:6060/cms001/ch00000090990000001015/index.m3u8</t>
  </si>
  <si>
    <t>http://iptvrr.sh.chinamobile.com:6060/cms001/ch00000090990000001016/index.m3u8</t>
    <phoneticPr fontId="2" type="noConversion"/>
  </si>
  <si>
    <t>东方影视</t>
    <phoneticPr fontId="2" type="noConversion"/>
  </si>
  <si>
    <t>http://iptvrr.sh.chinamobile.com:6060/cms001/ch00000090990000001017/index.m3u8</t>
  </si>
  <si>
    <t>第一财经</t>
    <phoneticPr fontId="2" type="noConversion"/>
  </si>
  <si>
    <t>http://iptvrr.sh.chinamobile.com:6060/cms001/ch00000090990000001018/index.m3u8</t>
  </si>
  <si>
    <t>五星体育</t>
    <phoneticPr fontId="2" type="noConversion"/>
  </si>
  <si>
    <t>http://iptvrr.sh.chinamobile.com:6060/cms001/ch00000090990000001020/index.m3u8</t>
  </si>
  <si>
    <t>CETV1</t>
  </si>
  <si>
    <t>http://iptvrr.sh.chinamobile.com:6060/cms001/ch00000090990000001022/index.m3u8</t>
  </si>
  <si>
    <t>CCTV1</t>
  </si>
  <si>
    <t>http://iptvrr.sh.chinamobile.com:6060/cms001/ch00000090990000001023/index.m3u8</t>
  </si>
  <si>
    <t>浙江卫视</t>
  </si>
  <si>
    <t>http://iptvrr.sh.chinamobile.com:6060/cms001/ch00000090990000001026/index.m3u8</t>
  </si>
  <si>
    <t>湖南卫视</t>
  </si>
  <si>
    <t>http://iptvrr.sh.chinamobile.com:6060/cms001/ch00000090990000001027/index.m3u8</t>
  </si>
  <si>
    <t>湖北卫视</t>
  </si>
  <si>
    <t>http://iptvrr.sh.chinamobile.com:6060/cms001/ch00000090990000001028/index.m3u8</t>
  </si>
  <si>
    <t>山东卫视</t>
  </si>
  <si>
    <t>http://iptvrr.sh.chinamobile.com:6060/cms001/ch00000090990000001029/index.m3u8</t>
  </si>
  <si>
    <t>北京卫视</t>
  </si>
  <si>
    <t>http://iptvrr.sh.chinamobile.com:6060/cms001/ch00000090990000001030/index.m3u8</t>
  </si>
  <si>
    <t>深圳卫视</t>
  </si>
  <si>
    <t>http://iptvrr.sh.chinamobile.com:6060/cms001/ch00000090990000001031/index.m3u8</t>
  </si>
  <si>
    <t>黑龙江卫视</t>
  </si>
  <si>
    <t>http://iptvrr.sh.chinamobile.com:6060/cms001/ch00000090990000001032/index.m3u8</t>
  </si>
  <si>
    <t>广东卫视</t>
  </si>
  <si>
    <t>http://iptvrr.sh.chinamobile.com:6060/cms001/ch00000090990000001033/index.m3u8</t>
  </si>
  <si>
    <t>江苏卫视</t>
  </si>
  <si>
    <t>http://iptvrr.sh.chinamobile.com:6060/cms001/ch00000090990000001034/index.m3u8</t>
  </si>
  <si>
    <t>江西卫视</t>
  </si>
  <si>
    <t>http://iptvrr.sh.chinamobile.com:6060/cms001/ch00000090990000001035/index.m3u8</t>
  </si>
  <si>
    <t>辽宁卫视</t>
  </si>
  <si>
    <t>http://iptvrr.sh.chinamobile.com:6060/cms001/ch00000090990000001036/index.m3u8</t>
  </si>
  <si>
    <t>天津卫视</t>
  </si>
  <si>
    <t>http://iptvrr.sh.chinamobile.com:6060/cms001/ch00000090990000001037/index.m3u8</t>
  </si>
  <si>
    <t>安徽卫视</t>
  </si>
  <si>
    <t>http://iptvrr.sh.chinamobile.com:6060/cms001/ch00000090990000001039/index.m3u8</t>
  </si>
  <si>
    <t>东方购物</t>
    <phoneticPr fontId="2" type="noConversion"/>
  </si>
  <si>
    <t>http://iptvrr.sh.chinamobile.com:6060/cms001/ch00000090990000001040/index.m3u8</t>
  </si>
  <si>
    <t>http://iptvrr.sh.chinamobile.com:6060/cms001/ch00000090990000001046/index.m3u8</t>
  </si>
  <si>
    <t>http://iptvrr.sh.chinamobile.com:6060/cms001/ch00000090990000001048/index.m3u8</t>
  </si>
  <si>
    <t>http://iptvrr.sh.chinamobile.com:6060/cms001/ch00000090990000001049/index.m3u8</t>
  </si>
  <si>
    <t>http://iptvrr.sh.chinamobile.com:6060/cms001/ch00000090990000001053/index.m3u8</t>
  </si>
  <si>
    <t>上海教育</t>
    <phoneticPr fontId="2" type="noConversion"/>
  </si>
  <si>
    <t>http://iptvrr.sh.chinamobile.com:6060/cms001/ch00000090990000001054/index.m3u8</t>
  </si>
  <si>
    <t>CCTV3</t>
    <phoneticPr fontId="2" type="noConversion"/>
  </si>
  <si>
    <t>http://iptvrr.sh.chinamobile.com:6060/cms001/ch00000090990000001055/index.m3u8</t>
  </si>
  <si>
    <t>CCTV5</t>
    <phoneticPr fontId="2" type="noConversion"/>
  </si>
  <si>
    <t>http://iptvrr.sh.chinamobile.com:6060/cms001/ch00000090990000001056/index.m3u8</t>
  </si>
  <si>
    <t>CCTV6</t>
    <phoneticPr fontId="2" type="noConversion"/>
  </si>
  <si>
    <t>http://iptvrr.sh.chinamobile.com:6060/cms001/ch00000090990000001057/index.m3u8</t>
  </si>
  <si>
    <t>CCTV8</t>
    <phoneticPr fontId="2" type="noConversion"/>
  </si>
  <si>
    <t>http://iptvrr.sh.chinamobile.com:6060/cms001/ch00000090990000001058/index.m3u8</t>
  </si>
  <si>
    <t>CGTN</t>
  </si>
  <si>
    <t>http://iptvrr.sh.chinamobile.com:6060/cms001/ch00000090990000001059/index.m3u8</t>
  </si>
  <si>
    <t>CCTV11</t>
    <phoneticPr fontId="2" type="noConversion"/>
  </si>
  <si>
    <t>http://iptvrr.sh.chinamobile.com:6060/cms001/ch00000090990000001060/index.m3u8</t>
  </si>
  <si>
    <t>CCTV12</t>
    <phoneticPr fontId="2" type="noConversion"/>
  </si>
  <si>
    <t>http://iptvrr.sh.chinamobile.com:6060/cms001/ch00000090990000001061/index.m3u8</t>
  </si>
  <si>
    <t>CCTV13</t>
    <phoneticPr fontId="2" type="noConversion"/>
  </si>
  <si>
    <t>http://iptvrr.sh.chinamobile.com:6060/cms001/ch00000090990000001062/index.m3u8</t>
  </si>
  <si>
    <t>CCTV14</t>
    <phoneticPr fontId="2" type="noConversion"/>
  </si>
  <si>
    <t>http://iptvrr.sh.chinamobile.com:6060/cms001/ch00000090990000001063/index.m3u8</t>
  </si>
  <si>
    <t>CCTV15</t>
    <phoneticPr fontId="2" type="noConversion"/>
  </si>
  <si>
    <t>http://iptvrr.sh.chinamobile.com:6060/cms001/ch00000090990000001065/index.m3u8</t>
  </si>
  <si>
    <t>新疆卫视</t>
  </si>
  <si>
    <t>http://iptvrr.sh.chinamobile.com:6060/cms001/ch00000090990000001066/index.m3u8</t>
  </si>
  <si>
    <t>兵团卫视</t>
  </si>
  <si>
    <t>http://iptvrr.sh.chinamobile.com:6060/cms001/ch00000090990000001067/index.m3u8</t>
  </si>
  <si>
    <t>陕西卫视</t>
  </si>
  <si>
    <t>http://iptvrr.sh.chinamobile.com:6060/cms001/ch00000090990000001068/index.m3u8</t>
  </si>
  <si>
    <t>内蒙古卫视</t>
  </si>
  <si>
    <t>http://iptvrr.sh.chinamobile.com:6060/cms001/ch00000090990000001069/index.m3u8</t>
  </si>
  <si>
    <t>甘肃卫视</t>
    <phoneticPr fontId="2" type="noConversion"/>
  </si>
  <si>
    <t>http://iptvrr.sh.chinamobile.com:6060/cms001/ch00000090990000001070/index.m3u8</t>
  </si>
  <si>
    <t>山西卫视</t>
  </si>
  <si>
    <t>http://iptvrr.sh.chinamobile.com:6060/cms001/ch00000090990000001071/index.m3u8</t>
  </si>
  <si>
    <t>贵州卫视</t>
    <phoneticPr fontId="2" type="noConversion"/>
  </si>
  <si>
    <t>http://iptvrr.sh.chinamobile.com:6060/cms001/ch00000090990000001072/index.m3u8</t>
  </si>
  <si>
    <t>西藏卫视</t>
  </si>
  <si>
    <t>http://iptvrr.sh.chinamobile.com:6060/cms001/ch00000090990000001073/index.m3u8</t>
  </si>
  <si>
    <t>河南卫视</t>
    <phoneticPr fontId="2" type="noConversion"/>
  </si>
  <si>
    <t>http://iptvrr.sh.chinamobile.com:6060/cms001/ch00000090990000001074/index.m3u8</t>
  </si>
  <si>
    <t>宁夏卫视</t>
  </si>
  <si>
    <t>http://iptvrr.sh.chinamobile.com:6060/cms001/ch00000090990000001075/index.m3u8</t>
  </si>
  <si>
    <t>广东卫视</t>
    <phoneticPr fontId="2" type="noConversion"/>
  </si>
  <si>
    <t>http://iptvrr.sh.chinamobile.com:6060/cms001/ch00000090990000001076/index.m3u8</t>
  </si>
  <si>
    <t>海南卫视</t>
    <phoneticPr fontId="2" type="noConversion"/>
  </si>
  <si>
    <t>http://iptvrr.sh.chinamobile.com:6060/cms001/ch00000090990000001077/index.m3u8</t>
  </si>
  <si>
    <t>吉林卫视</t>
    <phoneticPr fontId="2" type="noConversion"/>
  </si>
  <si>
    <t>http://iptvrr.sh.chinamobile.com:6060/cms001/ch00000090990000001078/index.m3u8</t>
  </si>
  <si>
    <t>江苏卫视</t>
    <phoneticPr fontId="2" type="noConversion"/>
  </si>
  <si>
    <t>http://iptvrr.sh.chinamobile.com:6060/cms001/ch00000090990000001079/index.m3u8</t>
  </si>
  <si>
    <t>天津卫视</t>
    <phoneticPr fontId="2" type="noConversion"/>
  </si>
  <si>
    <t>http://iptvrr.sh.chinamobile.com:6060/cms001/ch00000090990000001080/index.m3u8</t>
  </si>
  <si>
    <t>江西卫视</t>
    <phoneticPr fontId="2" type="noConversion"/>
  </si>
  <si>
    <t>http://iptvrr.sh.chinamobile.com:6060/cms001/ch00000090990000001081/index.m3u8</t>
  </si>
  <si>
    <t>河北卫视</t>
    <phoneticPr fontId="2" type="noConversion"/>
  </si>
  <si>
    <t>http://iptvrr.sh.chinamobile.com:6060/cms001/ch00000090990000001082/index.m3u8</t>
  </si>
  <si>
    <t>青海卫视</t>
    <phoneticPr fontId="2" type="noConversion"/>
  </si>
  <si>
    <t>http://iptvrr.sh.chinamobile.com:6060/cms001/ch00000090990000001083/index.m3u8</t>
  </si>
  <si>
    <t>湖北卫视</t>
    <phoneticPr fontId="2" type="noConversion"/>
  </si>
  <si>
    <t>http://iptvrr.sh.chinamobile.com:6060/cms001/ch00000090990000001084/index.m3u8</t>
  </si>
  <si>
    <t>辽宁卫视</t>
    <phoneticPr fontId="2" type="noConversion"/>
  </si>
  <si>
    <t>http://iptvrr.sh.chinamobile.com:6060/cms001/ch00000090990000001085/index.m3u8</t>
  </si>
  <si>
    <t>安徽卫视</t>
    <phoneticPr fontId="2" type="noConversion"/>
  </si>
  <si>
    <t>http://iptvrr.sh.chinamobile.com:6060/cms001/ch00000090990000001086/index.m3u8</t>
  </si>
  <si>
    <t>北京卫视</t>
    <phoneticPr fontId="2" type="noConversion"/>
  </si>
  <si>
    <t>http://iptvrr.sh.chinamobile.com:6060/cms001/ch00000090990000001087/index.m3u8</t>
  </si>
  <si>
    <t>重庆卫视</t>
    <phoneticPr fontId="2" type="noConversion"/>
  </si>
  <si>
    <t>http://iptvrr.sh.chinamobile.com:6060/cms001/ch00000090990000001088/index.m3u8</t>
  </si>
  <si>
    <t>湖南卫视</t>
    <phoneticPr fontId="2" type="noConversion"/>
  </si>
  <si>
    <t>http://iptvrr.sh.chinamobile.com:6060/cms001/ch00000090990000001089/index.m3u8</t>
  </si>
  <si>
    <t>黑龙江卫视</t>
    <phoneticPr fontId="2" type="noConversion"/>
  </si>
  <si>
    <t>http://iptvrr.sh.chinamobile.com:6060/cms001/ch00000090990000001091/index.m3u8</t>
  </si>
  <si>
    <t>四川卫视</t>
    <phoneticPr fontId="2" type="noConversion"/>
  </si>
  <si>
    <t>http://iptvrr.sh.chinamobile.com:6060/cms001/ch00000090990000001092/index.m3u8</t>
  </si>
  <si>
    <t>东南卫视</t>
    <phoneticPr fontId="2" type="noConversion"/>
  </si>
  <si>
    <t>http://iptvrr.sh.chinamobile.com:6060/cms001/ch00000090990000001093/index.m3u8</t>
  </si>
  <si>
    <t>山东卫视</t>
    <phoneticPr fontId="2" type="noConversion"/>
  </si>
  <si>
    <t>http://iptvrr.sh.chinamobile.com:6060/cms001/ch00000090990000001094/index.m3u8</t>
  </si>
  <si>
    <t>云南卫视</t>
    <phoneticPr fontId="2" type="noConversion"/>
  </si>
  <si>
    <t>http://iptvrr.sh.chinamobile.com:6060/cms001/ch00000090990000001095/index.m3u8</t>
  </si>
  <si>
    <t>广西卫视</t>
    <phoneticPr fontId="2" type="noConversion"/>
  </si>
  <si>
    <t>http://iptvrr.sh.chinamobile.com:6060/cms001/ch00000090990000001096/index.m3u8</t>
  </si>
  <si>
    <t>深圳卫视</t>
    <phoneticPr fontId="2" type="noConversion"/>
  </si>
  <si>
    <t>http://iptvrr.sh.chinamobile.com:6060/cms001/ch00000090990000001098/index.m3u8</t>
  </si>
  <si>
    <t>金鹰卡通</t>
    <phoneticPr fontId="2" type="noConversion"/>
  </si>
  <si>
    <t>http://iptvrr.sh.chinamobile.com:6060/cms001/ch00000090990000001100/index.m3u8</t>
  </si>
  <si>
    <t>CETV1</t>
    <phoneticPr fontId="2" type="noConversion"/>
  </si>
  <si>
    <t>http://iptvrr.sh.chinamobile.com:6060/cms001/ch00000090990000001104/index.m3u8</t>
  </si>
  <si>
    <t>哈哈炫动</t>
    <phoneticPr fontId="2" type="noConversion"/>
  </si>
  <si>
    <t>http://iptvrr.sh.chinamobile.com:6060/cms001/ch00000090990000001106/index.m3u8</t>
  </si>
  <si>
    <t>金色学堂</t>
    <phoneticPr fontId="2" type="noConversion"/>
  </si>
  <si>
    <t>http://iptvrr.sh.chinamobile.com:6060/cms001/ch00000090990000001107/index.m3u8</t>
  </si>
  <si>
    <t>都市剧场</t>
    <phoneticPr fontId="2" type="noConversion"/>
  </si>
  <si>
    <t>http://iptvrr.sh.chinamobile.com:6060/cms001/ch00000090990000001108/index.m3u8</t>
  </si>
  <si>
    <t>动漫秀场</t>
    <phoneticPr fontId="2" type="noConversion"/>
  </si>
  <si>
    <t>http://iptvrr.sh.chinamobile.com:6060/cms001/ch00000090990000001110/index.m3u8</t>
  </si>
  <si>
    <t>乐游</t>
    <phoneticPr fontId="2" type="noConversion"/>
  </si>
  <si>
    <t>http://iptvrr.sh.chinamobile.com:6060/cms001/ch00000090990000001111/index.m3u8</t>
  </si>
  <si>
    <t>法治天地</t>
    <phoneticPr fontId="2" type="noConversion"/>
  </si>
  <si>
    <t>http://iptvrr.sh.chinamobile.com:6060/cms001/ch00000090990000001114/index.m3u8</t>
  </si>
  <si>
    <t>游戏风云</t>
    <phoneticPr fontId="2" type="noConversion"/>
  </si>
  <si>
    <t>http://iptvrr.sh.chinamobile.com:6060/cms001/ch00000090990000001117/index.m3u8</t>
  </si>
  <si>
    <t>生活时尚</t>
    <phoneticPr fontId="2" type="noConversion"/>
  </si>
  <si>
    <t>http://iptvrr.sh.chinamobile.com:6060/cms001/ch00000090990000001120/index.m3u8</t>
  </si>
  <si>
    <t>http://iptvrr.sh.chinamobile.com:6060/cms001/ch00000090990000001121/index.m3u8</t>
  </si>
  <si>
    <t>http://iptvrr.sh.chinamobile.com:6060/cms001/ch00000090990000001129/index.m3u8</t>
  </si>
  <si>
    <t>重庆卫视</t>
  </si>
  <si>
    <t>http://iptvrr.sh.chinamobile.com:6060/cms001/ch00000090990000001130/index.m3u8</t>
  </si>
  <si>
    <t>四川卫视</t>
  </si>
  <si>
    <t>http://iptvrr.sh.chinamobile.com:6060/cms001/ch00000090990000001132/index.m3u8</t>
  </si>
  <si>
    <t>好享购物</t>
    <phoneticPr fontId="2" type="noConversion"/>
  </si>
  <si>
    <t>http://iptvrr.sh.chinamobile.com:6060/cms001/ch00000090990000001142/index.m3u8</t>
  </si>
  <si>
    <t>央广购物</t>
    <phoneticPr fontId="2" type="noConversion"/>
  </si>
  <si>
    <t>http://iptvrr.sh.chinamobile.com:6060/cms001/ch00000090990000001148/index.m3u8</t>
  </si>
  <si>
    <t>BesTV</t>
    <phoneticPr fontId="2" type="noConversion"/>
  </si>
  <si>
    <t>http://iptvrr.sh.chinamobile.com:6060/cms001/ch00000090990000001149/index.m3u8</t>
  </si>
  <si>
    <t>http://iptvrr.sh.chinamobile.com:6060/cms001/ch00000090990000001150/index.m3u8</t>
  </si>
  <si>
    <t>http://iptvrr.sh.chinamobile.com:6060/cms001/ch00000090990000001151/index.m3u8</t>
  </si>
  <si>
    <t>http://iptvrr.sh.chinamobile.com:6060/cms001/ch00000090990000001152/index.m3u8</t>
  </si>
  <si>
    <t>http://iptvrr.sh.chinamobile.com:6060/cms001/ch00000090990000001153/index.m3u8</t>
  </si>
  <si>
    <t>http://iptvrr.sh.chinamobile.com:6060/cms001/ch00000090990000001154/index.m3u8</t>
  </si>
  <si>
    <t>http://iptvrr.sh.chinamobile.com:6060/cms001/ch00000090990000001162/index.m3u8</t>
  </si>
  <si>
    <t>BesTV导航</t>
    <phoneticPr fontId="2" type="noConversion"/>
  </si>
  <si>
    <t>http://iptvrr.sh.chinamobile.com:6060/cms001/ch00000090990000001183/index.m3u8</t>
  </si>
  <si>
    <t>海南卫视</t>
  </si>
  <si>
    <t>http://iptvrr.sh.chinamobile.com:6060/cms001/ch00000090990000001184/index.m3u8</t>
  </si>
  <si>
    <t>贵州卫视</t>
  </si>
  <si>
    <t>http://iptvrr.sh.chinamobile.com:6060/cms001/ch00000090990000001185/index.m3u8</t>
  </si>
  <si>
    <t>三沙卫视</t>
  </si>
  <si>
    <t>http://iptvrr.sh.chinamobile.com:6060/cms001/ch00000090990000001186/index.m3u8</t>
  </si>
  <si>
    <t>CCTV3</t>
  </si>
  <si>
    <t>http://iptvrr.sh.chinamobile.com:6060/cms001/ch00000090990000001187/index.m3u8</t>
  </si>
  <si>
    <t>CCTV5</t>
  </si>
  <si>
    <t>http://iptvrr.sh.chinamobile.com:6060/cms001/ch00000090990000001188/index.m3u8</t>
  </si>
  <si>
    <t>CCTV6</t>
  </si>
  <si>
    <t>http://iptvrr.sh.chinamobile.com:6060/cms001/ch00000090990000001189/index.m3u8</t>
  </si>
  <si>
    <t>CCTV8</t>
  </si>
  <si>
    <t>http://iptvrr.sh.chinamobile.com:6060/cms001/ch00000090990000001192/index.m3u8</t>
  </si>
  <si>
    <t>http://iptvrr.sh.chinamobile.com:6060/cms001/ch00000090990000001193/index.m3u8</t>
  </si>
  <si>
    <t>欢笑剧场</t>
    <phoneticPr fontId="2" type="noConversion"/>
  </si>
  <si>
    <t>http://iptvrr.sh.chinamobile.com:6060/cms001/ch00000090990000001194/index.m3u8</t>
  </si>
  <si>
    <t>http://iptvrr.sh.chinamobile.com:6060/cms001/ch00000090990000001195/index.m3u8</t>
  </si>
  <si>
    <t>http://iptvrr.sh.chinamobile.com:6060/cms001/ch00000090990000001196/index.m3u8</t>
  </si>
  <si>
    <t>http://iptvrr.sh.chinamobile.com:6060/cms001/ch00000090990000001199/index.m3u8</t>
  </si>
  <si>
    <t>http://iptvrr.sh.chinamobile.com:6060/cms001/ch00000090990000001200/index.m3u8</t>
  </si>
  <si>
    <t>http://iptvrr.sh.chinamobile.com:6060/cms001/ch00000090990000001201/index.m3u8</t>
  </si>
  <si>
    <t>东南卫视</t>
  </si>
  <si>
    <t>http://iptvrr.sh.chinamobile.com:6060/cms001/ch00000090990000001203/index.m3u8</t>
  </si>
  <si>
    <t>http://iptvrr.sh.chinamobile.com:6060/cms001/ch00000090990000001219/index.m3u8</t>
  </si>
  <si>
    <t>财富天下</t>
    <phoneticPr fontId="2" type="noConversion"/>
  </si>
  <si>
    <t>http://iptvrr.sh.chinamobile.com:6060/cms001/ch00000090990000001220/index.m3u8</t>
  </si>
  <si>
    <t>CCTV2</t>
  </si>
  <si>
    <t>http://iptvrr.sh.chinamobile.com:6060/cms001/ch00000090990000001221/index.m3u8</t>
  </si>
  <si>
    <t>CCTV4</t>
  </si>
  <si>
    <t>http://iptvrr.sh.chinamobile.com:6060/cms001/ch00000090990000001222/index.m3u8</t>
  </si>
  <si>
    <t>河南卫视</t>
  </si>
  <si>
    <t>http://iptvrr.sh.chinamobile.com:6060/cms001/ch00000090990000001223/index.m3u8</t>
  </si>
  <si>
    <t>云南卫视</t>
  </si>
  <si>
    <t>http://iptvrr.sh.chinamobile.com:6060/cms001/ch00000090990000001224/index.m3u8</t>
  </si>
  <si>
    <t>广西卫视</t>
  </si>
  <si>
    <t>http://iptvrr.sh.chinamobile.com:6060/cms001/ch00000090990000001225/index.m3u8</t>
  </si>
  <si>
    <t>吉林卫视</t>
  </si>
  <si>
    <t>http://iptvrr.sh.chinamobile.com:6060/cms001/ch00000090990000001226/index.m3u8</t>
  </si>
  <si>
    <t>CETV2</t>
  </si>
  <si>
    <t>http://iptvrr.sh.chinamobile.com:6060/cms001/ch00000090990000001227/index.m3u8</t>
  </si>
  <si>
    <t>嘉佳卡通</t>
    <phoneticPr fontId="2" type="noConversion"/>
  </si>
  <si>
    <t>http://iptvrr.sh.chinamobile.com:6060/cms001/ch00000090990000001228/index.m3u8</t>
  </si>
  <si>
    <t>卡酷少儿</t>
    <phoneticPr fontId="2" type="noConversion"/>
  </si>
  <si>
    <t>http://iptvrr.sh.chinamobile.com:6060/cms001/ch00000090990000001229/index.m3u8</t>
  </si>
  <si>
    <t>河北卫视</t>
  </si>
  <si>
    <t>http://iptvrr.sh.chinamobile.com:6060/cms001/ch00000090990000001230/index.m3u8</t>
  </si>
  <si>
    <t>金鹰纪实</t>
    <phoneticPr fontId="2" type="noConversion"/>
  </si>
  <si>
    <t>http://iptvrr.sh.chinamobile.com:6060/cms001/ch00000090990000001232/index.m3u8</t>
  </si>
  <si>
    <t>http://iptvrr.sh.chinamobile.com:6060/cms001/ch00000090990000001234/index.m3u8</t>
  </si>
  <si>
    <t>茶频道</t>
    <phoneticPr fontId="2" type="noConversion"/>
  </si>
  <si>
    <t>http://iptvrr.sh.chinamobile.com:6060/cms001/ch00000090990000001235/index.m3u8</t>
  </si>
  <si>
    <t>快乐垂钓</t>
    <phoneticPr fontId="2" type="noConversion"/>
  </si>
  <si>
    <t>http://iptvrr.sh.chinamobile.com:6060/cms001/ch00000090990000001236/index.m3u8</t>
  </si>
  <si>
    <t>CCTV7</t>
  </si>
  <si>
    <t>http://iptvrr.sh.chinamobile.com:6060/cms001/ch00000090990000001237/index.m3u8</t>
  </si>
  <si>
    <t>CCTV9</t>
  </si>
  <si>
    <t>http://iptvrr.sh.chinamobile.com:6060/cms001/ch00000090990000001238/index.m3u8</t>
  </si>
  <si>
    <t>CCTV10</t>
  </si>
  <si>
    <t>http://iptvrr.sh.chinamobile.com:6060/cms001/ch00000090990000001239/index.m3u8</t>
  </si>
  <si>
    <t>CCTV12</t>
  </si>
  <si>
    <t>http://iptvrr.sh.chinamobile.com:6060/cms001/ch00000090990000001240/index.m3u8</t>
  </si>
  <si>
    <t>CCTV14</t>
  </si>
  <si>
    <t>http://iptvrr.sh.chinamobile.com:6060/cms001/ch00000090990000001241/index.m3u8</t>
  </si>
  <si>
    <t>CCTV17</t>
  </si>
  <si>
    <t>http://iptvrr.sh.chinamobile.com:6060/cms001/ch00000090990000001242/index.m3u8</t>
  </si>
  <si>
    <t>CCTV9</t>
    <phoneticPr fontId="2" type="noConversion"/>
  </si>
  <si>
    <t>http://iptvrr.sh.chinamobile.com:6060/cms001/ch00000090990000001243/index.m3u8</t>
  </si>
  <si>
    <t>CCTV17</t>
    <phoneticPr fontId="2" type="noConversion"/>
  </si>
  <si>
    <t>http://iptvrr.sh.chinamobile.com:6060/cms001/ch00000090990000001245/index.m3u8</t>
  </si>
  <si>
    <t>http://iptvrr.sh.chinamobile.com:6060/cms001/ch00000090990000001248/index.m3u8</t>
  </si>
  <si>
    <t>CCTV16</t>
  </si>
  <si>
    <t>http://iptvrr.sh.chinamobile.com:6060/cms001/ch00000090990000001258/index.m3u8</t>
  </si>
  <si>
    <t>CCTV16</t>
    <phoneticPr fontId="2" type="noConversion"/>
  </si>
  <si>
    <t>3840x2160</t>
  </si>
  <si>
    <t>20Mbps</t>
  </si>
  <si>
    <t>AAC</t>
  </si>
  <si>
    <t>http://iptvrr.sh.chinamobile.com:6060/cms001/ch00000090990000001268/index.m3u8</t>
  </si>
  <si>
    <t>http://iptvrr.sh.chinamobile.com:6060/cms001/ch00000090990000001278/index.m3u8</t>
  </si>
  <si>
    <t>家庭理财</t>
    <phoneticPr fontId="2" type="noConversion"/>
  </si>
  <si>
    <t>http://iptvrr.sh.chinamobile.com:6060/cms001/ch00000090990000001298/index.m3u8</t>
  </si>
  <si>
    <t>甘肃卫视</t>
  </si>
  <si>
    <t>http://iptvrr.sh.chinamobile.com:6060/cms001/ch00000090990000001309/index.m3u8</t>
  </si>
  <si>
    <t>CCTV11</t>
  </si>
  <si>
    <t>http://iptvrr.sh.chinamobile.com:6060/cms001/ch00000090990000001318/index.m3u8</t>
  </si>
  <si>
    <t>东方财经</t>
    <phoneticPr fontId="2" type="noConversion"/>
  </si>
  <si>
    <t>http://iptvrr.sh.chinamobile.com:6060/cms001/ch00000090990000001328/index.m3u8</t>
  </si>
  <si>
    <t>CCTV13</t>
  </si>
  <si>
    <t>http://iptvrr.sh.chinamobile.com:6060/cms001/ch00000090990000001338/index.m3u8</t>
  </si>
  <si>
    <t>CCTV15</t>
  </si>
  <si>
    <t>http://iptvrr.sh.chinamobile.com:6060/cms001/ch00000090990000001348/index.m3u8</t>
  </si>
  <si>
    <t>CETV4</t>
  </si>
  <si>
    <t>http://iptvrr.sh.chinamobile.com:6060/cms001/ch00000090990000001359/index.m3u8</t>
  </si>
  <si>
    <t>http://iptvrr.sh.chinamobile.com:6060/cms001/ch00000090990000001378/index.m3u8</t>
  </si>
  <si>
    <t>http://iptvrr.sh.chinamobile.com:6060/cms001/ch00000090990000001388/index.m3u8</t>
  </si>
  <si>
    <t>http://iptvrr.sh.chinamobile.com:6060/cms001/ch00000090990000001398/index.m3u8</t>
  </si>
  <si>
    <t>http://iptvrr.sh.chinamobile.com:6060/cms001/ch00000090990000001420/index.m3u8</t>
  </si>
  <si>
    <t>http://iptvrr.sh.chinamobile.com:6060/cms001/ch00000090990000001430/index.m3u8</t>
  </si>
  <si>
    <t>关闭</t>
    <phoneticPr fontId="2" type="noConversion"/>
  </si>
  <si>
    <t>http://iptvrr.sh.chinamobile.com:6060/cms001/ch00000090990000001450/index.m3u8</t>
  </si>
  <si>
    <t>青海卫视</t>
  </si>
  <si>
    <t>http://iptvrr.sh.chinamobile.com:6060/cms001/ch00000090990000001451/index.m3u8</t>
  </si>
  <si>
    <t>CCTV4K</t>
    <phoneticPr fontId="2" type="noConversion"/>
  </si>
  <si>
    <t>HEVC</t>
  </si>
  <si>
    <t>AC3</t>
  </si>
  <si>
    <t>http://iptvrr.sh.chinamobile.com:6060/cms001/ch00000090990000001460/index.m3u8</t>
  </si>
  <si>
    <t>http://iptvrr.sh.chinamobile.com:6060/cms001/ch00000090990000001470/index.m3u8</t>
  </si>
  <si>
    <t>延边卫视</t>
  </si>
  <si>
    <t>http://iptvrr.sh.chinamobile.com:6060/cms001/ch00000090990000001490/index.m3u8</t>
  </si>
  <si>
    <t>http://iptvrr.sh.chinamobile.com:6060/cms001/ch00000090990000001500/index.m3u8</t>
  </si>
  <si>
    <t>北京卫视4K</t>
    <phoneticPr fontId="2" type="noConversion"/>
  </si>
  <si>
    <t>http://iptvrr.sh.chinamobile.com:6060/cms001/ch00000090990000001510/index.m3u8</t>
  </si>
  <si>
    <t>http://iptvrr.sh.chinamobile.com:6060/cms001/ch00000090990000001520/index.m3u8</t>
  </si>
  <si>
    <t>http://iptvrr.sh.chinamobile.com:6060/cms001/ch00000090990000001521/index.m3u8</t>
  </si>
  <si>
    <t>深圳卫视4K</t>
    <phoneticPr fontId="2" type="noConversion"/>
  </si>
  <si>
    <t>http://iptvrr.sh.chinamobile.com:6060/cms001/ch00000090990000001530/index.m3u8</t>
  </si>
  <si>
    <t>内蒙古卫视</t>
    <phoneticPr fontId="2" type="noConversion"/>
  </si>
  <si>
    <t>http://iptvrr.sh.chinamobile.com:6060/cms001/ch00000090990000001540/index.m3u8</t>
  </si>
  <si>
    <t>广东卫视4K</t>
    <phoneticPr fontId="2" type="noConversion"/>
  </si>
  <si>
    <t>http://iptvrr.sh.chinamobile.com:6060/cms001/ch00000090990000001550/index.m3u8</t>
  </si>
  <si>
    <t>http://iptvrr.sh.chinamobile.com:6060/cms001/ch00000090990000001560/index.m3u8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</si>
</sst>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Inziu Iosevka Slab SC"/>
      <family val="3"/>
      <charset val="134"/>
    </font>
    <font>
      <sz val="9"/>
      <name val="等线"/>
      <family val="2"/>
      <charset val="134"/>
      <scheme val="minor"/>
    </font>
    <font>
      <sz val="11"/>
      <color rgb="FFFF0000"/>
      <name val="Inziu Iosevka Slab SC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Video\IPT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福建移动"/>
      <sheetName val="福建电信"/>
      <sheetName val="江苏联通"/>
      <sheetName val="黑龙江移动"/>
      <sheetName val="贵州移动-需使用代理"/>
      <sheetName val="河南电信-需使用代理"/>
      <sheetName val="浙江移动-需使用代理"/>
      <sheetName val="上海移动-需使用代理"/>
      <sheetName val="山东移动-需使用代理"/>
      <sheetName val="辽宁移动-需使用代理"/>
      <sheetName val="广西移动-需使用代理"/>
      <sheetName val="广东肇庆移动"/>
      <sheetName val="魔百盒"/>
      <sheetName val="电视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C1" t="str">
            <v>tvg-id</v>
          </cell>
          <cell r="D1" t="str">
            <v>tvg-name</v>
          </cell>
          <cell r="E1" t="str">
            <v>Logo链接</v>
          </cell>
          <cell r="F1" t="str">
            <v>频道分类</v>
          </cell>
        </row>
        <row r="2">
          <cell r="C2" t="str">
            <v>BesTV</v>
          </cell>
          <cell r="D2" t="str">
            <v>BesTV</v>
          </cell>
          <cell r="E2" t="str">
            <v>BesTV.png</v>
          </cell>
          <cell r="F2" t="str">
            <v>BesTV</v>
          </cell>
        </row>
        <row r="3">
          <cell r="C3" t="str">
            <v>BesTV-1</v>
          </cell>
          <cell r="D3" t="str">
            <v>BesTV-1</v>
          </cell>
          <cell r="E3" t="str">
            <v>BesTV.png</v>
          </cell>
          <cell r="F3" t="str">
            <v>4K超高清</v>
          </cell>
        </row>
        <row r="4">
          <cell r="C4" t="str">
            <v>BesTV-2</v>
          </cell>
          <cell r="D4" t="str">
            <v>BesTV-2</v>
          </cell>
          <cell r="E4" t="str">
            <v>BesTV.png</v>
          </cell>
          <cell r="F4" t="str">
            <v>4K超高清</v>
          </cell>
        </row>
        <row r="5">
          <cell r="C5" t="str">
            <v>BesTV-3</v>
          </cell>
          <cell r="D5" t="str">
            <v>BesTV-3</v>
          </cell>
          <cell r="E5" t="str">
            <v>BesTV.png</v>
          </cell>
          <cell r="F5" t="str">
            <v>4K超高清</v>
          </cell>
        </row>
        <row r="6">
          <cell r="C6" t="str">
            <v>CCTV1</v>
          </cell>
          <cell r="D6" t="str">
            <v>CCTV1</v>
          </cell>
          <cell r="E6" t="str">
            <v>CCTV1.png</v>
          </cell>
          <cell r="F6" t="str">
            <v>央视</v>
          </cell>
        </row>
        <row r="7">
          <cell r="C7" t="str">
            <v>CCTV10</v>
          </cell>
          <cell r="D7" t="str">
            <v>CCTV10</v>
          </cell>
          <cell r="E7" t="str">
            <v>CCTV10.png</v>
          </cell>
          <cell r="F7" t="str">
            <v>央视</v>
          </cell>
        </row>
        <row r="8">
          <cell r="C8" t="str">
            <v>CCTV11</v>
          </cell>
          <cell r="D8" t="str">
            <v>CCTV11</v>
          </cell>
          <cell r="E8" t="str">
            <v>CCTV11.png</v>
          </cell>
          <cell r="F8" t="str">
            <v>央视</v>
          </cell>
        </row>
        <row r="9">
          <cell r="C9" t="str">
            <v>CCTV12</v>
          </cell>
          <cell r="D9" t="str">
            <v>CCTV12</v>
          </cell>
          <cell r="E9" t="str">
            <v>CCTV12.png</v>
          </cell>
          <cell r="F9" t="str">
            <v>央视</v>
          </cell>
        </row>
        <row r="10">
          <cell r="C10" t="str">
            <v>CCTV13</v>
          </cell>
          <cell r="D10" t="str">
            <v>CCTV13</v>
          </cell>
          <cell r="E10" t="str">
            <v>CCTV13.png</v>
          </cell>
          <cell r="F10" t="str">
            <v>央视</v>
          </cell>
        </row>
        <row r="11">
          <cell r="C11" t="str">
            <v>CCTV14</v>
          </cell>
          <cell r="D11" t="str">
            <v>CCTV14</v>
          </cell>
          <cell r="E11" t="str">
            <v>CCTV14.png</v>
          </cell>
          <cell r="F11" t="str">
            <v>央视</v>
          </cell>
        </row>
        <row r="12">
          <cell r="C12" t="str">
            <v>CCTV15</v>
          </cell>
          <cell r="D12" t="str">
            <v>CCTV15</v>
          </cell>
          <cell r="E12" t="str">
            <v>CCTV15.png</v>
          </cell>
          <cell r="F12" t="str">
            <v>央视</v>
          </cell>
        </row>
        <row r="13">
          <cell r="C13" t="str">
            <v>CCTV16</v>
          </cell>
          <cell r="D13" t="str">
            <v>CCTV16</v>
          </cell>
          <cell r="E13" t="str">
            <v>CCTV16.png</v>
          </cell>
          <cell r="F13" t="str">
            <v>央视</v>
          </cell>
        </row>
        <row r="14">
          <cell r="C14" t="str">
            <v>CCTV17</v>
          </cell>
          <cell r="D14" t="str">
            <v>CCTV17</v>
          </cell>
          <cell r="E14" t="str">
            <v>CCTV17.png</v>
          </cell>
          <cell r="F14" t="str">
            <v>央视</v>
          </cell>
        </row>
        <row r="15">
          <cell r="C15" t="str">
            <v>CCTV2</v>
          </cell>
          <cell r="D15" t="str">
            <v>CCTV2</v>
          </cell>
          <cell r="E15" t="str">
            <v>CCTV2.png</v>
          </cell>
          <cell r="F15" t="str">
            <v>央视</v>
          </cell>
        </row>
        <row r="16">
          <cell r="C16" t="str">
            <v>CCTV3</v>
          </cell>
          <cell r="D16" t="str">
            <v>CCTV3</v>
          </cell>
          <cell r="E16" t="str">
            <v>CCTV3.png</v>
          </cell>
          <cell r="F16" t="str">
            <v>央视</v>
          </cell>
        </row>
        <row r="17">
          <cell r="C17" t="str">
            <v>CCTV4</v>
          </cell>
          <cell r="D17" t="str">
            <v>CCTV4</v>
          </cell>
          <cell r="E17" t="str">
            <v>CCTV4.png</v>
          </cell>
          <cell r="F17" t="str">
            <v>央视</v>
          </cell>
        </row>
        <row r="18">
          <cell r="C18" t="str">
            <v>CCTV4K</v>
          </cell>
          <cell r="D18" t="str">
            <v>CCTV4K</v>
          </cell>
          <cell r="E18" t="str">
            <v>CCTV4K.png</v>
          </cell>
          <cell r="F18" t="str">
            <v>央视</v>
          </cell>
        </row>
        <row r="19">
          <cell r="C19" t="str">
            <v>CCTV5</v>
          </cell>
          <cell r="D19" t="str">
            <v>CCTV5</v>
          </cell>
          <cell r="E19" t="str">
            <v>CCTV5.png</v>
          </cell>
          <cell r="F19" t="str">
            <v>央视</v>
          </cell>
        </row>
        <row r="20">
          <cell r="C20" t="str">
            <v>CCTV5+</v>
          </cell>
          <cell r="D20" t="str">
            <v>CCTV5+</v>
          </cell>
          <cell r="E20" t="str">
            <v>CCTV5+.png</v>
          </cell>
          <cell r="F20" t="str">
            <v>央视</v>
          </cell>
        </row>
        <row r="21">
          <cell r="C21" t="str">
            <v>CCTV6</v>
          </cell>
          <cell r="D21" t="str">
            <v>CCTV6</v>
          </cell>
          <cell r="E21" t="str">
            <v>CCTV6.png</v>
          </cell>
          <cell r="F21" t="str">
            <v>央视</v>
          </cell>
        </row>
        <row r="22">
          <cell r="C22" t="str">
            <v>CCTV7</v>
          </cell>
          <cell r="D22" t="str">
            <v>CCTV7</v>
          </cell>
          <cell r="E22" t="str">
            <v>CCTV7.png</v>
          </cell>
          <cell r="F22" t="str">
            <v>央视</v>
          </cell>
        </row>
        <row r="23">
          <cell r="C23" t="str">
            <v>CCTV8</v>
          </cell>
          <cell r="D23" t="str">
            <v>CCTV8</v>
          </cell>
          <cell r="E23" t="str">
            <v>CCTV8.png</v>
          </cell>
          <cell r="F23" t="str">
            <v>央视</v>
          </cell>
        </row>
        <row r="24">
          <cell r="C24" t="str">
            <v>CCTV9</v>
          </cell>
          <cell r="D24" t="str">
            <v>CCTV9</v>
          </cell>
          <cell r="E24" t="str">
            <v>CCTV9.png</v>
          </cell>
          <cell r="F24" t="str">
            <v>央视</v>
          </cell>
        </row>
        <row r="25">
          <cell r="C25" t="str">
            <v>CETV1</v>
          </cell>
          <cell r="D25" t="str">
            <v>CETV1</v>
          </cell>
          <cell r="E25" t="str">
            <v>CETV1.png</v>
          </cell>
          <cell r="F25" t="str">
            <v>卫视</v>
          </cell>
        </row>
        <row r="26">
          <cell r="C26" t="str">
            <v>CETV2</v>
          </cell>
          <cell r="D26" t="str">
            <v>CETV2</v>
          </cell>
          <cell r="E26" t="str">
            <v>CETV2.png</v>
          </cell>
          <cell r="F26" t="str">
            <v>卫视</v>
          </cell>
        </row>
        <row r="27">
          <cell r="C27" t="str">
            <v>CETV4</v>
          </cell>
          <cell r="D27" t="str">
            <v>CETV4</v>
          </cell>
          <cell r="E27" t="str">
            <v>CETV4.png</v>
          </cell>
          <cell r="F27" t="str">
            <v>卫视</v>
          </cell>
        </row>
        <row r="28">
          <cell r="C28" t="str">
            <v>CGTN</v>
          </cell>
          <cell r="D28" t="str">
            <v>CGTN</v>
          </cell>
          <cell r="E28" t="str">
            <v>CGTN.png</v>
          </cell>
          <cell r="F28" t="str">
            <v>国际</v>
          </cell>
        </row>
        <row r="29">
          <cell r="C29" t="str">
            <v>CGTN阿语</v>
          </cell>
          <cell r="D29" t="str">
            <v>CGTN阿语</v>
          </cell>
          <cell r="E29" t="str">
            <v>CGTN阿.png</v>
          </cell>
          <cell r="F29" t="str">
            <v>国际</v>
          </cell>
        </row>
        <row r="30">
          <cell r="C30" t="str">
            <v>CGTN俄语</v>
          </cell>
          <cell r="D30" t="str">
            <v>CGTN俄语</v>
          </cell>
          <cell r="E30" t="str">
            <v>CGTN俄.png</v>
          </cell>
          <cell r="F30" t="str">
            <v>国际</v>
          </cell>
        </row>
        <row r="31">
          <cell r="C31" t="str">
            <v>CGTN法语</v>
          </cell>
          <cell r="D31" t="str">
            <v>CGTN法语</v>
          </cell>
          <cell r="E31" t="str">
            <v>CGTN法语.png</v>
          </cell>
          <cell r="F31" t="str">
            <v>国际</v>
          </cell>
        </row>
        <row r="32">
          <cell r="C32" t="str">
            <v>CGTN纪录</v>
          </cell>
          <cell r="D32" t="str">
            <v>CGTN纪录</v>
          </cell>
          <cell r="E32" t="str">
            <v>CGTN纪录.png</v>
          </cell>
          <cell r="F32" t="str">
            <v>国际</v>
          </cell>
        </row>
        <row r="33">
          <cell r="C33" t="str">
            <v>CGTN西语</v>
          </cell>
          <cell r="D33" t="str">
            <v>CGTN西语</v>
          </cell>
          <cell r="E33" t="str">
            <v>CGTN西语.png</v>
          </cell>
          <cell r="F33" t="str">
            <v>国际</v>
          </cell>
        </row>
        <row r="34">
          <cell r="C34" t="str">
            <v>爱情喜剧</v>
          </cell>
          <cell r="D34" t="str">
            <v>爱情喜剧</v>
          </cell>
          <cell r="E34" t="str">
            <v>爱情喜剧.png</v>
          </cell>
          <cell r="F34" t="str">
            <v>NewTV</v>
          </cell>
        </row>
        <row r="35">
          <cell r="C35" t="str">
            <v>安徽卫视</v>
          </cell>
          <cell r="D35" t="str">
            <v>安徽卫视</v>
          </cell>
          <cell r="E35" t="str">
            <v>安徽卫视.png</v>
          </cell>
          <cell r="F35" t="str">
            <v>卫视</v>
          </cell>
        </row>
        <row r="36">
          <cell r="C36" t="str">
            <v>北京卫视</v>
          </cell>
          <cell r="D36" t="str">
            <v>北京卫视</v>
          </cell>
          <cell r="E36" t="str">
            <v>北京卫视.png</v>
          </cell>
          <cell r="F36" t="str">
            <v>卫视</v>
          </cell>
        </row>
        <row r="37">
          <cell r="C37" t="str">
            <v>北京卫视</v>
          </cell>
          <cell r="D37" t="str">
            <v>北京卫视</v>
          </cell>
          <cell r="E37" t="str">
            <v>北京卫视4K.png</v>
          </cell>
          <cell r="F37" t="str">
            <v>4K超高清</v>
          </cell>
        </row>
        <row r="38">
          <cell r="C38" t="str">
            <v>兵团卫视</v>
          </cell>
          <cell r="D38" t="str">
            <v>兵团卫视</v>
          </cell>
          <cell r="E38" t="str">
            <v>兵团卫视.png</v>
          </cell>
          <cell r="F38" t="str">
            <v>卫视</v>
          </cell>
        </row>
        <row r="39">
          <cell r="C39" t="str">
            <v>茶频道</v>
          </cell>
          <cell r="D39" t="str">
            <v>茶频道</v>
          </cell>
          <cell r="E39" t="str">
            <v>茶频道.png</v>
          </cell>
          <cell r="F39" t="str">
            <v>付费</v>
          </cell>
        </row>
        <row r="40">
          <cell r="C40" t="str">
            <v>第一财经</v>
          </cell>
          <cell r="D40" t="str">
            <v>第一财经</v>
          </cell>
          <cell r="E40" t="str">
            <v>第一财经.png</v>
          </cell>
          <cell r="F40" t="str">
            <v>其他</v>
          </cell>
        </row>
        <row r="41">
          <cell r="C41" t="str">
            <v>东方财经</v>
          </cell>
          <cell r="D41" t="str">
            <v>东方财经</v>
          </cell>
          <cell r="E41" t="str">
            <v>东方财经.png</v>
          </cell>
          <cell r="F41" t="str">
            <v>其他</v>
          </cell>
        </row>
        <row r="42">
          <cell r="C42" t="str">
            <v>东方卫视</v>
          </cell>
          <cell r="D42" t="str">
            <v>东方卫视</v>
          </cell>
          <cell r="E42" t="str">
            <v>东方卫视.png</v>
          </cell>
          <cell r="F42" t="str">
            <v>卫视</v>
          </cell>
        </row>
        <row r="43">
          <cell r="C43" t="str">
            <v>东南卫视</v>
          </cell>
          <cell r="D43" t="str">
            <v>东南卫视</v>
          </cell>
          <cell r="E43" t="str">
            <v>东南卫视.png</v>
          </cell>
          <cell r="F43" t="str">
            <v>卫视</v>
          </cell>
        </row>
        <row r="44">
          <cell r="C44" t="str">
            <v>动漫秀场</v>
          </cell>
          <cell r="D44" t="str">
            <v>动漫秀场</v>
          </cell>
          <cell r="E44" t="str">
            <v>动漫秀场.png</v>
          </cell>
          <cell r="F44" t="str">
            <v>付费</v>
          </cell>
        </row>
        <row r="45">
          <cell r="C45" t="str">
            <v>都市剧场</v>
          </cell>
          <cell r="D45" t="str">
            <v>都市剧场</v>
          </cell>
          <cell r="E45" t="str">
            <v>都市剧场.png</v>
          </cell>
          <cell r="F45" t="str">
            <v>付费</v>
          </cell>
        </row>
        <row r="46">
          <cell r="C46" t="str">
            <v>法制天地</v>
          </cell>
          <cell r="D46" t="str">
            <v>法制天地</v>
          </cell>
          <cell r="E46" t="str">
            <v>法制天地.png</v>
          </cell>
          <cell r="F46" t="str">
            <v>付费</v>
          </cell>
        </row>
        <row r="47">
          <cell r="C47" t="str">
            <v>凤凰中文</v>
          </cell>
          <cell r="D47" t="str">
            <v>凤凰中文</v>
          </cell>
          <cell r="E47" t="str">
            <v>凤凰中文.png</v>
          </cell>
          <cell r="F47" t="str">
            <v>卫视</v>
          </cell>
        </row>
        <row r="48">
          <cell r="C48" t="str">
            <v>凤凰资讯</v>
          </cell>
          <cell r="D48" t="str">
            <v>凤凰资讯</v>
          </cell>
          <cell r="E48" t="str">
            <v>凤凰资讯.png</v>
          </cell>
          <cell r="F48" t="str">
            <v>卫视</v>
          </cell>
        </row>
        <row r="49">
          <cell r="C49" t="str">
            <v>甘肃卫视</v>
          </cell>
          <cell r="D49" t="str">
            <v>甘肃卫视</v>
          </cell>
          <cell r="E49" t="str">
            <v>甘肃卫视.png</v>
          </cell>
          <cell r="F49" t="str">
            <v>卫视</v>
          </cell>
        </row>
        <row r="50">
          <cell r="C50" t="str">
            <v>广东卫视</v>
          </cell>
          <cell r="D50" t="str">
            <v>广东卫视</v>
          </cell>
          <cell r="E50" t="str">
            <v>广东卫视.png</v>
          </cell>
          <cell r="F50" t="str">
            <v>卫视</v>
          </cell>
        </row>
        <row r="51">
          <cell r="C51" t="str">
            <v>广东卫视</v>
          </cell>
          <cell r="D51" t="str">
            <v>广东卫视</v>
          </cell>
          <cell r="E51" t="str">
            <v>广东卫视4K.png</v>
          </cell>
          <cell r="F51" t="str">
            <v>4K超高清</v>
          </cell>
        </row>
        <row r="52">
          <cell r="C52" t="str">
            <v>广西卫视</v>
          </cell>
          <cell r="D52" t="str">
            <v>广西卫视</v>
          </cell>
          <cell r="E52" t="str">
            <v>广西卫视.png</v>
          </cell>
          <cell r="F52" t="str">
            <v>卫视</v>
          </cell>
        </row>
        <row r="53">
          <cell r="C53" t="str">
            <v>贵州卫视</v>
          </cell>
          <cell r="D53" t="str">
            <v>贵州卫视</v>
          </cell>
          <cell r="E53" t="str">
            <v>贵州卫视.png</v>
          </cell>
          <cell r="F53" t="str">
            <v>卫视</v>
          </cell>
        </row>
        <row r="54">
          <cell r="C54" t="str">
            <v>哈哈炫动</v>
          </cell>
          <cell r="D54" t="str">
            <v>哈哈炫动</v>
          </cell>
          <cell r="E54" t="str">
            <v>哈哈炫动.png</v>
          </cell>
          <cell r="F54" t="str">
            <v>卫视</v>
          </cell>
        </row>
        <row r="55">
          <cell r="C55" t="str">
            <v>海南卫视</v>
          </cell>
          <cell r="D55" t="str">
            <v>海南卫视</v>
          </cell>
          <cell r="E55" t="str">
            <v>海南卫视.png</v>
          </cell>
          <cell r="F55" t="str">
            <v>卫视</v>
          </cell>
        </row>
        <row r="56">
          <cell r="C56" t="str">
            <v>杭州导视</v>
          </cell>
          <cell r="D56" t="str">
            <v>杭州导视</v>
          </cell>
          <cell r="E56" t="str">
            <v>杭州导视.png</v>
          </cell>
          <cell r="F56" t="str">
            <v>地方</v>
          </cell>
        </row>
        <row r="57">
          <cell r="C57" t="str">
            <v>杭州青少体育</v>
          </cell>
          <cell r="D57" t="str">
            <v>杭州青少体育</v>
          </cell>
          <cell r="E57" t="str">
            <v>杭州青少.png</v>
          </cell>
          <cell r="F57" t="str">
            <v>地方</v>
          </cell>
        </row>
        <row r="58">
          <cell r="C58" t="str">
            <v>杭州生活</v>
          </cell>
          <cell r="D58" t="str">
            <v>杭州生活</v>
          </cell>
          <cell r="E58" t="str">
            <v>杭州生活.png</v>
          </cell>
          <cell r="F58" t="str">
            <v>地方</v>
          </cell>
        </row>
        <row r="59">
          <cell r="C59" t="str">
            <v>杭州西湖明珠</v>
          </cell>
          <cell r="D59" t="str">
            <v>杭州西湖明珠</v>
          </cell>
          <cell r="E59" t="str">
            <v>杭州明珠.png</v>
          </cell>
          <cell r="F59" t="str">
            <v>地方</v>
          </cell>
        </row>
        <row r="60">
          <cell r="C60" t="str">
            <v>杭州影视</v>
          </cell>
          <cell r="D60" t="str">
            <v>杭州影视</v>
          </cell>
          <cell r="E60" t="str">
            <v>杭州影视.png</v>
          </cell>
          <cell r="F60" t="str">
            <v>地方</v>
          </cell>
        </row>
        <row r="61">
          <cell r="C61" t="str">
            <v>杭州综合</v>
          </cell>
          <cell r="D61" t="str">
            <v>杭州综合</v>
          </cell>
          <cell r="E61" t="str">
            <v>杭州综合.png</v>
          </cell>
          <cell r="F61" t="str">
            <v>地方</v>
          </cell>
        </row>
        <row r="62">
          <cell r="C62" t="str">
            <v>河北卫视</v>
          </cell>
          <cell r="D62" t="str">
            <v>河北卫视</v>
          </cell>
          <cell r="E62" t="str">
            <v>河北卫视.png</v>
          </cell>
          <cell r="F62" t="str">
            <v>卫视</v>
          </cell>
        </row>
        <row r="63">
          <cell r="C63" t="str">
            <v>河南卫视</v>
          </cell>
          <cell r="D63" t="str">
            <v>河南卫视</v>
          </cell>
          <cell r="E63" t="str">
            <v>河南卫视.png</v>
          </cell>
          <cell r="F63" t="str">
            <v>卫视</v>
          </cell>
        </row>
        <row r="64">
          <cell r="C64" t="str">
            <v>黑龙江卫视</v>
          </cell>
          <cell r="D64" t="str">
            <v>黑龙江卫视</v>
          </cell>
          <cell r="E64" t="str">
            <v>黑龙江卫视.png</v>
          </cell>
          <cell r="F64" t="str">
            <v>卫视</v>
          </cell>
        </row>
        <row r="65">
          <cell r="C65" t="str">
            <v>湖北卫视</v>
          </cell>
          <cell r="D65" t="str">
            <v>湖北卫视</v>
          </cell>
          <cell r="E65" t="str">
            <v>湖北卫视.png</v>
          </cell>
          <cell r="F65" t="str">
            <v>卫视</v>
          </cell>
        </row>
        <row r="66">
          <cell r="C66" t="str">
            <v>湖南卫视</v>
          </cell>
          <cell r="D66" t="str">
            <v>湖南卫视</v>
          </cell>
          <cell r="E66" t="str">
            <v>湖南卫视.png</v>
          </cell>
          <cell r="F66" t="str">
            <v>卫视</v>
          </cell>
        </row>
        <row r="67">
          <cell r="C67" t="str">
            <v>湖州新闻综合</v>
          </cell>
          <cell r="D67" t="str">
            <v>湖州新闻综合</v>
          </cell>
          <cell r="E67" t="str">
            <v>湖州新闻综合.png</v>
          </cell>
          <cell r="F67" t="str">
            <v>地方</v>
          </cell>
        </row>
        <row r="68">
          <cell r="C68" t="str">
            <v>欢笑剧场</v>
          </cell>
          <cell r="D68" t="str">
            <v>欢笑剧场</v>
          </cell>
          <cell r="E68" t="str">
            <v>欢笑剧场.png</v>
          </cell>
          <cell r="F68" t="str">
            <v>付费</v>
          </cell>
        </row>
        <row r="69">
          <cell r="C69" t="str">
            <v>欢笑剧场</v>
          </cell>
          <cell r="D69" t="str">
            <v>欢笑剧场</v>
          </cell>
          <cell r="E69" t="str">
            <v>欢笑剧场4K.png</v>
          </cell>
          <cell r="F69" t="str">
            <v>4K超高清</v>
          </cell>
        </row>
        <row r="70">
          <cell r="C70" t="str">
            <v>环球旅游</v>
          </cell>
          <cell r="D70" t="str">
            <v>环球旅游</v>
          </cell>
          <cell r="E70" t="str">
            <v>环球旅游.png</v>
          </cell>
          <cell r="F70" t="str">
            <v>其他</v>
          </cell>
        </row>
        <row r="71">
          <cell r="C71" t="str">
            <v>吉林卫视</v>
          </cell>
          <cell r="D71" t="str">
            <v>吉林卫视</v>
          </cell>
          <cell r="E71" t="str">
            <v>吉林卫视.png</v>
          </cell>
          <cell r="F71" t="str">
            <v>卫视</v>
          </cell>
        </row>
        <row r="72">
          <cell r="C72" t="str">
            <v>纪实科教</v>
          </cell>
          <cell r="D72" t="str">
            <v>纪实科教</v>
          </cell>
          <cell r="E72" t="str">
            <v>纪实科教.png</v>
          </cell>
          <cell r="F72" t="str">
            <v>卫视</v>
          </cell>
        </row>
        <row r="73">
          <cell r="C73" t="str">
            <v>嘉兴新闻综合</v>
          </cell>
          <cell r="D73" t="str">
            <v>嘉兴新闻综合</v>
          </cell>
          <cell r="E73" t="str">
            <v>嘉兴新闻综合.png</v>
          </cell>
          <cell r="F73" t="str">
            <v>地方</v>
          </cell>
        </row>
        <row r="74">
          <cell r="C74" t="str">
            <v>江苏卫视</v>
          </cell>
          <cell r="D74" t="str">
            <v>江苏卫视</v>
          </cell>
          <cell r="E74" t="str">
            <v>江苏卫视.png</v>
          </cell>
          <cell r="F74" t="str">
            <v>卫视</v>
          </cell>
        </row>
        <row r="75">
          <cell r="C75" t="str">
            <v>江西卫视</v>
          </cell>
          <cell r="D75" t="str">
            <v>江西卫视</v>
          </cell>
          <cell r="E75" t="str">
            <v>江西卫视.png</v>
          </cell>
          <cell r="F75" t="str">
            <v>卫视</v>
          </cell>
        </row>
        <row r="76">
          <cell r="C76" t="str">
            <v>金华新闻</v>
          </cell>
          <cell r="D76" t="str">
            <v>金华新闻</v>
          </cell>
          <cell r="E76" t="str">
            <v>金华新闻综合.png</v>
          </cell>
          <cell r="F76" t="str">
            <v>地方</v>
          </cell>
        </row>
        <row r="77">
          <cell r="C77" t="str">
            <v>金色学堂</v>
          </cell>
          <cell r="D77" t="str">
            <v>金色学堂</v>
          </cell>
          <cell r="E77" t="str">
            <v>金色学堂.png</v>
          </cell>
          <cell r="F77" t="str">
            <v>付费</v>
          </cell>
        </row>
        <row r="78">
          <cell r="C78" t="str">
            <v>金鹰卡通</v>
          </cell>
          <cell r="D78" t="str">
            <v>金鹰卡通</v>
          </cell>
          <cell r="E78" t="str">
            <v>金鹰卡通.png</v>
          </cell>
          <cell r="F78" t="str">
            <v>卫视</v>
          </cell>
        </row>
        <row r="79">
          <cell r="C79" t="str">
            <v>睛彩广场舞</v>
          </cell>
          <cell r="D79" t="str">
            <v>睛彩广场舞</v>
          </cell>
          <cell r="E79" t="str">
            <v>睛彩广场舞.png</v>
          </cell>
          <cell r="F79" t="str">
            <v>其他</v>
          </cell>
        </row>
        <row r="80">
          <cell r="C80" t="str">
            <v>睛彩竞技</v>
          </cell>
          <cell r="D80" t="str">
            <v>睛彩竞技</v>
          </cell>
          <cell r="E80" t="str">
            <v>睛彩竞技.png</v>
          </cell>
          <cell r="F80" t="str">
            <v>其他</v>
          </cell>
        </row>
        <row r="81">
          <cell r="C81" t="str">
            <v>睛彩篮球</v>
          </cell>
          <cell r="D81" t="str">
            <v>睛彩篮球</v>
          </cell>
          <cell r="E81" t="str">
            <v>睛彩篮球.png</v>
          </cell>
          <cell r="F81" t="str">
            <v>其他</v>
          </cell>
        </row>
        <row r="82">
          <cell r="C82" t="str">
            <v>睛彩青少</v>
          </cell>
          <cell r="D82" t="str">
            <v>睛彩青少</v>
          </cell>
          <cell r="E82" t="str">
            <v>睛彩青少.png</v>
          </cell>
          <cell r="F82" t="str">
            <v>其他</v>
          </cell>
        </row>
        <row r="83">
          <cell r="C83" t="str">
            <v>卡酷少儿</v>
          </cell>
          <cell r="D83" t="str">
            <v>卡酷少儿</v>
          </cell>
          <cell r="E83" t="str">
            <v>卡酷少儿.png</v>
          </cell>
          <cell r="F83" t="str">
            <v>付费</v>
          </cell>
        </row>
        <row r="84">
          <cell r="C84" t="str">
            <v>康巴卫视</v>
          </cell>
          <cell r="D84" t="str">
            <v>康巴卫视</v>
          </cell>
          <cell r="E84" t="str">
            <v>康巴卫视.png</v>
          </cell>
          <cell r="F84" t="str">
            <v>卫视</v>
          </cell>
        </row>
        <row r="85">
          <cell r="C85" t="str">
            <v>快乐垂钓</v>
          </cell>
          <cell r="D85" t="str">
            <v>快乐垂钓</v>
          </cell>
          <cell r="E85" t="str">
            <v>快乐垂钓.png</v>
          </cell>
          <cell r="F85" t="str">
            <v>付费</v>
          </cell>
        </row>
        <row r="86">
          <cell r="C86" t="str">
            <v>乐游</v>
          </cell>
          <cell r="D86" t="str">
            <v>乐游</v>
          </cell>
          <cell r="E86" t="str">
            <v>乐游.png</v>
          </cell>
          <cell r="F86" t="str">
            <v>付费</v>
          </cell>
        </row>
        <row r="87">
          <cell r="C87" t="str">
            <v>丽水新闻综合</v>
          </cell>
          <cell r="D87" t="str">
            <v>丽水新闻综合</v>
          </cell>
          <cell r="E87" t="str">
            <v>丽水新闻综合.png</v>
          </cell>
          <cell r="F87" t="str">
            <v>地方</v>
          </cell>
        </row>
        <row r="88">
          <cell r="C88" t="str">
            <v>辽宁卫视</v>
          </cell>
          <cell r="D88" t="str">
            <v>辽宁卫视</v>
          </cell>
          <cell r="E88" t="str">
            <v>辽宁卫视.png</v>
          </cell>
          <cell r="F88" t="str">
            <v>卫视</v>
          </cell>
        </row>
        <row r="89">
          <cell r="C89" t="str">
            <v>临平新闻</v>
          </cell>
          <cell r="D89" t="str">
            <v>临平新闻</v>
          </cell>
          <cell r="E89" t="str">
            <v>临平新闻.png</v>
          </cell>
          <cell r="F89" t="str">
            <v>地方</v>
          </cell>
        </row>
        <row r="90">
          <cell r="C90" t="str">
            <v>内蒙古卫视</v>
          </cell>
          <cell r="D90" t="str">
            <v>内蒙古卫视</v>
          </cell>
          <cell r="E90" t="str">
            <v>内蒙古卫视.png</v>
          </cell>
          <cell r="F90" t="str">
            <v>卫视</v>
          </cell>
        </row>
        <row r="91">
          <cell r="C91" t="str">
            <v>宁波TV1</v>
          </cell>
          <cell r="D91" t="str">
            <v>宁波TV1</v>
          </cell>
          <cell r="E91" t="str">
            <v>宁波新闻综合.png</v>
          </cell>
          <cell r="F91" t="str">
            <v>地方</v>
          </cell>
        </row>
        <row r="92">
          <cell r="C92" t="str">
            <v>宁波TV2</v>
          </cell>
          <cell r="D92" t="str">
            <v>宁波TV2</v>
          </cell>
          <cell r="E92" t="str">
            <v>宁波经济生活.png</v>
          </cell>
          <cell r="F92" t="str">
            <v>地方</v>
          </cell>
        </row>
        <row r="93">
          <cell r="C93" t="str">
            <v>宁波TV3</v>
          </cell>
          <cell r="D93" t="str">
            <v>宁波TV3</v>
          </cell>
          <cell r="E93" t="str">
            <v>宁波都市文体.png</v>
          </cell>
          <cell r="F93" t="str">
            <v>地方</v>
          </cell>
        </row>
        <row r="94">
          <cell r="C94" t="str">
            <v>宁波TV4</v>
          </cell>
          <cell r="D94" t="str">
            <v>宁波TV4</v>
          </cell>
          <cell r="E94" t="str">
            <v>宁波影视剧.png</v>
          </cell>
          <cell r="F94" t="str">
            <v>地方</v>
          </cell>
        </row>
        <row r="95">
          <cell r="C95" t="str">
            <v>宁夏卫视</v>
          </cell>
          <cell r="D95" t="str">
            <v>宁夏卫视</v>
          </cell>
          <cell r="E95" t="str">
            <v>宁夏卫视.png</v>
          </cell>
          <cell r="F95" t="str">
            <v>卫视</v>
          </cell>
        </row>
        <row r="96">
          <cell r="C96" t="str">
            <v>青海卫视</v>
          </cell>
          <cell r="D96" t="str">
            <v>青海卫视</v>
          </cell>
          <cell r="E96" t="str">
            <v>青海卫视.png</v>
          </cell>
          <cell r="F96" t="str">
            <v>卫视</v>
          </cell>
        </row>
        <row r="97">
          <cell r="C97" t="str">
            <v>衢州公共</v>
          </cell>
          <cell r="D97" t="str">
            <v>衢州公共</v>
          </cell>
          <cell r="E97" t="str">
            <v>衢州公共.png</v>
          </cell>
          <cell r="F97" t="str">
            <v>地方</v>
          </cell>
        </row>
        <row r="98">
          <cell r="C98" t="str">
            <v>衢州新闻综合</v>
          </cell>
          <cell r="D98" t="str">
            <v>衢州新闻综合</v>
          </cell>
          <cell r="E98" t="str">
            <v>衢州新闻综合.png</v>
          </cell>
          <cell r="F98" t="str">
            <v>地方</v>
          </cell>
        </row>
        <row r="99">
          <cell r="C99" t="str">
            <v>三沙卫视</v>
          </cell>
          <cell r="D99" t="str">
            <v>三沙卫视</v>
          </cell>
          <cell r="E99" t="str">
            <v>三沙卫视.png</v>
          </cell>
          <cell r="F99" t="str">
            <v>卫视</v>
          </cell>
        </row>
        <row r="100">
          <cell r="C100" t="str">
            <v>山东卫视</v>
          </cell>
          <cell r="D100" t="str">
            <v>山东卫视</v>
          </cell>
          <cell r="E100" t="str">
            <v>山东卫视.png</v>
          </cell>
          <cell r="F100" t="str">
            <v>卫视</v>
          </cell>
        </row>
        <row r="101">
          <cell r="C101" t="str">
            <v>山西卫视</v>
          </cell>
          <cell r="D101" t="str">
            <v>山西卫视</v>
          </cell>
          <cell r="E101" t="str">
            <v>山西卫视.png</v>
          </cell>
          <cell r="F101" t="str">
            <v>卫视</v>
          </cell>
        </row>
        <row r="102">
          <cell r="C102" t="str">
            <v>陕西卫视</v>
          </cell>
          <cell r="D102" t="str">
            <v>陕西卫视</v>
          </cell>
          <cell r="E102" t="str">
            <v>陕西卫视.png</v>
          </cell>
          <cell r="F102" t="str">
            <v>卫视</v>
          </cell>
        </row>
        <row r="103">
          <cell r="C103" t="str">
            <v>绍兴新闻综合</v>
          </cell>
          <cell r="D103" t="str">
            <v>绍兴新闻综合</v>
          </cell>
          <cell r="E103" t="str">
            <v>绍兴新闻综合.png</v>
          </cell>
          <cell r="F103" t="str">
            <v>地方</v>
          </cell>
        </row>
        <row r="104">
          <cell r="C104" t="str">
            <v>深圳卫视</v>
          </cell>
          <cell r="D104" t="str">
            <v>深圳卫视</v>
          </cell>
          <cell r="E104" t="str">
            <v>深圳卫视.png</v>
          </cell>
          <cell r="F104" t="str">
            <v>卫视</v>
          </cell>
        </row>
        <row r="105">
          <cell r="C105" t="str">
            <v>深圳卫视</v>
          </cell>
          <cell r="D105" t="str">
            <v>深圳卫视</v>
          </cell>
          <cell r="E105" t="str">
            <v>深圳卫视4K.png</v>
          </cell>
          <cell r="F105" t="str">
            <v>4K超高清</v>
          </cell>
        </row>
        <row r="106">
          <cell r="C106" t="str">
            <v>生活时尚</v>
          </cell>
          <cell r="D106" t="str">
            <v>生活时尚</v>
          </cell>
          <cell r="E106" t="str">
            <v>生活时尚.png</v>
          </cell>
          <cell r="F106" t="str">
            <v>付费</v>
          </cell>
        </row>
        <row r="107">
          <cell r="C107" t="str">
            <v>四川卫视</v>
          </cell>
          <cell r="D107" t="str">
            <v>四川卫视</v>
          </cell>
          <cell r="E107" t="str">
            <v>四川卫视.png</v>
          </cell>
          <cell r="F107" t="str">
            <v>卫视</v>
          </cell>
        </row>
        <row r="108">
          <cell r="C108" t="str">
            <v>天津卫视</v>
          </cell>
          <cell r="D108" t="str">
            <v>天津卫视</v>
          </cell>
          <cell r="E108" t="str">
            <v>天津卫视.png</v>
          </cell>
          <cell r="F108" t="str">
            <v>卫视</v>
          </cell>
        </row>
        <row r="109">
          <cell r="C109" t="str">
            <v>桐乡新闻综合</v>
          </cell>
          <cell r="D109" t="str">
            <v>桐乡新闻综合</v>
          </cell>
          <cell r="E109" t="str">
            <v>桐乡新闻综合.png</v>
          </cell>
          <cell r="F109" t="str">
            <v>地方</v>
          </cell>
        </row>
        <row r="110">
          <cell r="C110" t="str">
            <v>温州新闻综合</v>
          </cell>
          <cell r="D110" t="str">
            <v>温州新闻综合</v>
          </cell>
          <cell r="E110" t="str">
            <v>温州新闻综合.png</v>
          </cell>
          <cell r="F110" t="str">
            <v>地方</v>
          </cell>
        </row>
        <row r="111">
          <cell r="C111" t="str">
            <v>西藏卫视</v>
          </cell>
          <cell r="D111" t="str">
            <v>西藏卫视</v>
          </cell>
          <cell r="E111" t="str">
            <v>西藏卫视.png</v>
          </cell>
          <cell r="F111" t="str">
            <v>卫视</v>
          </cell>
        </row>
        <row r="112">
          <cell r="C112" t="str">
            <v>新疆卫视</v>
          </cell>
          <cell r="D112" t="str">
            <v>新疆卫视</v>
          </cell>
          <cell r="E112" t="str">
            <v>新疆卫视.png</v>
          </cell>
          <cell r="F112" t="str">
            <v>卫视</v>
          </cell>
        </row>
        <row r="113">
          <cell r="C113" t="str">
            <v>延边卫视</v>
          </cell>
          <cell r="D113" t="str">
            <v>延边卫视</v>
          </cell>
          <cell r="E113" t="str">
            <v>延边卫视.png</v>
          </cell>
          <cell r="F113" t="str">
            <v>卫视</v>
          </cell>
        </row>
        <row r="114">
          <cell r="C114" t="str">
            <v>游戏风云</v>
          </cell>
          <cell r="D114" t="str">
            <v>游戏风云</v>
          </cell>
          <cell r="E114" t="str">
            <v>游戏风云.png</v>
          </cell>
          <cell r="F114" t="str">
            <v>付费</v>
          </cell>
        </row>
        <row r="115">
          <cell r="C115" t="str">
            <v>余杭新闻</v>
          </cell>
          <cell r="D115" t="str">
            <v>余杭新闻</v>
          </cell>
          <cell r="E115" t="str">
            <v>余杭新闻.png</v>
          </cell>
          <cell r="F115" t="str">
            <v>地方</v>
          </cell>
        </row>
        <row r="116">
          <cell r="C116" t="str">
            <v>云南卫视</v>
          </cell>
          <cell r="D116" t="str">
            <v>云南卫视</v>
          </cell>
          <cell r="E116" t="str">
            <v>云南卫视.png</v>
          </cell>
          <cell r="F116" t="str">
            <v>卫视</v>
          </cell>
        </row>
        <row r="117">
          <cell r="C117" t="str">
            <v>浙江城市之声</v>
          </cell>
          <cell r="D117" t="str">
            <v>浙江城市之声</v>
          </cell>
          <cell r="E117" t="str">
            <v>浙江城市之声.png</v>
          </cell>
          <cell r="F117" t="str">
            <v>广播</v>
          </cell>
        </row>
        <row r="118">
          <cell r="C118" t="str">
            <v>浙江公共新闻</v>
          </cell>
          <cell r="D118" t="str">
            <v>浙江公共新闻</v>
          </cell>
          <cell r="E118" t="str">
            <v>浙江公共新闻.png</v>
          </cell>
          <cell r="F118" t="str">
            <v>地方</v>
          </cell>
        </row>
        <row r="119">
          <cell r="C119" t="str">
            <v>浙江教科影视</v>
          </cell>
          <cell r="D119" t="str">
            <v>浙江教科影视</v>
          </cell>
          <cell r="E119" t="str">
            <v>浙江教科影视.png</v>
          </cell>
          <cell r="F119" t="str">
            <v>地方</v>
          </cell>
        </row>
        <row r="120">
          <cell r="C120" t="str">
            <v>浙江经济广播</v>
          </cell>
          <cell r="D120" t="str">
            <v>浙江经济广播</v>
          </cell>
          <cell r="E120" t="str">
            <v>浙江经济广播.png</v>
          </cell>
          <cell r="F120" t="str">
            <v>广播</v>
          </cell>
        </row>
        <row r="121">
          <cell r="C121" t="str">
            <v>浙江经济生活</v>
          </cell>
          <cell r="D121" t="str">
            <v>浙江经济生活</v>
          </cell>
          <cell r="E121" t="str">
            <v>浙江经济生活.png</v>
          </cell>
          <cell r="F121" t="str">
            <v>地方</v>
          </cell>
        </row>
        <row r="122">
          <cell r="C122" t="str">
            <v>浙江旅游之声</v>
          </cell>
          <cell r="D122" t="str">
            <v>浙江旅游之声</v>
          </cell>
          <cell r="E122" t="str">
            <v>浙江旅游之声.png</v>
          </cell>
          <cell r="F122" t="str">
            <v>广播</v>
          </cell>
        </row>
        <row r="123">
          <cell r="C123" t="str">
            <v>浙江民生休闲</v>
          </cell>
          <cell r="D123" t="str">
            <v>浙江民生休闲</v>
          </cell>
          <cell r="E123" t="str">
            <v>浙江民生休闲.png</v>
          </cell>
          <cell r="F123" t="str">
            <v>地方</v>
          </cell>
        </row>
        <row r="124">
          <cell r="C124" t="str">
            <v>浙江民生资讯广播</v>
          </cell>
          <cell r="D124" t="str">
            <v>浙江民生资讯广播</v>
          </cell>
          <cell r="E124" t="str">
            <v>浙江民生资讯广播.png</v>
          </cell>
          <cell r="F124" t="str">
            <v>广播</v>
          </cell>
        </row>
        <row r="125">
          <cell r="C125" t="str">
            <v>浙江钱江都市</v>
          </cell>
          <cell r="D125" t="str">
            <v>浙江钱江都市</v>
          </cell>
          <cell r="E125" t="str">
            <v>钱江频道.png</v>
          </cell>
          <cell r="F125" t="str">
            <v>地方</v>
          </cell>
        </row>
        <row r="126">
          <cell r="C126" t="str">
            <v>浙江少儿</v>
          </cell>
          <cell r="D126" t="str">
            <v>浙江少儿</v>
          </cell>
          <cell r="E126" t="str">
            <v>浙江少儿.png</v>
          </cell>
          <cell r="F126" t="str">
            <v>地方</v>
          </cell>
        </row>
        <row r="127">
          <cell r="C127" t="str">
            <v>浙江卫视</v>
          </cell>
          <cell r="D127" t="str">
            <v>浙江卫视</v>
          </cell>
          <cell r="E127" t="str">
            <v>浙江卫视.png</v>
          </cell>
          <cell r="F127" t="str">
            <v>卫视</v>
          </cell>
        </row>
        <row r="128">
          <cell r="C128" t="str">
            <v>浙江新闻广播</v>
          </cell>
          <cell r="D128" t="str">
            <v>浙江新闻广播</v>
          </cell>
          <cell r="E128" t="str">
            <v>浙江新闻广播.png</v>
          </cell>
          <cell r="F128" t="str">
            <v>广播</v>
          </cell>
        </row>
        <row r="129">
          <cell r="C129" t="str">
            <v>浙江音乐调频</v>
          </cell>
          <cell r="D129" t="str">
            <v>浙江音乐调频</v>
          </cell>
          <cell r="E129" t="str">
            <v>浙江音乐调频.png</v>
          </cell>
          <cell r="F129" t="str">
            <v>广播</v>
          </cell>
        </row>
        <row r="130">
          <cell r="C130" t="str">
            <v>浙江之声广播</v>
          </cell>
          <cell r="D130" t="str">
            <v>浙江之声广播</v>
          </cell>
          <cell r="E130" t="str">
            <v>浙江之声广播.png</v>
          </cell>
          <cell r="F130" t="str">
            <v>广播</v>
          </cell>
        </row>
        <row r="131">
          <cell r="C131" t="str">
            <v>之江记录</v>
          </cell>
          <cell r="D131" t="str">
            <v>之江记录</v>
          </cell>
          <cell r="E131" t="str">
            <v>之江记录.png</v>
          </cell>
          <cell r="F131" t="str">
            <v>地方</v>
          </cell>
        </row>
        <row r="132">
          <cell r="C132" t="str">
            <v>中国教育1台</v>
          </cell>
          <cell r="D132" t="str">
            <v>中国教育1台</v>
          </cell>
          <cell r="E132" t="str">
            <v>CETV1.png</v>
          </cell>
          <cell r="F132" t="str">
            <v>卫视</v>
          </cell>
        </row>
        <row r="133">
          <cell r="C133" t="str">
            <v>中国教育4台</v>
          </cell>
          <cell r="D133" t="str">
            <v>中国教育4台</v>
          </cell>
          <cell r="E133" t="str">
            <v>CETV4.png</v>
          </cell>
          <cell r="F133" t="str">
            <v>卫视</v>
          </cell>
        </row>
        <row r="134">
          <cell r="C134" t="str">
            <v>重庆卫视</v>
          </cell>
          <cell r="D134" t="str">
            <v>重庆卫视</v>
          </cell>
          <cell r="E134" t="str">
            <v>重庆卫视.png</v>
          </cell>
          <cell r="F134" t="str">
            <v>卫视</v>
          </cell>
        </row>
        <row r="135">
          <cell r="C135" t="str">
            <v>北京纪实科教</v>
          </cell>
          <cell r="D135" t="str">
            <v>北京纪实科教</v>
          </cell>
          <cell r="E135" t="str">
            <v>北京纪实科教.png</v>
          </cell>
          <cell r="F135" t="str">
            <v>付费</v>
          </cell>
        </row>
        <row r="136">
          <cell r="C136" t="str">
            <v>卡酷少儿</v>
          </cell>
          <cell r="D136" t="str">
            <v>卡酷少儿</v>
          </cell>
          <cell r="E136" t="str">
            <v>卡酷少儿.png</v>
          </cell>
          <cell r="F136" t="str">
            <v>付费</v>
          </cell>
        </row>
        <row r="137">
          <cell r="C137" t="str">
            <v>播控</v>
          </cell>
          <cell r="D137" t="str">
            <v>播控</v>
          </cell>
          <cell r="E137" t="str">
            <v>播控.png</v>
          </cell>
          <cell r="F137" t="str">
            <v>其他</v>
          </cell>
        </row>
        <row r="138">
          <cell r="C138" t="str">
            <v>潮妈辣婆</v>
          </cell>
          <cell r="D138" t="str">
            <v>潮妈辣婆</v>
          </cell>
          <cell r="E138" t="str">
            <v>潮妈辣婆.png</v>
          </cell>
          <cell r="F138" t="str">
            <v>NewTV</v>
          </cell>
        </row>
        <row r="139">
          <cell r="C139" t="str">
            <v>纯享4K</v>
          </cell>
          <cell r="D139" t="str">
            <v>纯享4K</v>
          </cell>
          <cell r="E139" t="str">
            <v>纯享4K.png</v>
          </cell>
          <cell r="F139" t="str">
            <v>4K超高清</v>
          </cell>
        </row>
        <row r="140">
          <cell r="C140" t="str">
            <v>哒啵竞技</v>
          </cell>
          <cell r="D140" t="str">
            <v>哒啵竞技</v>
          </cell>
          <cell r="E140" t="str">
            <v>哒啵竞技.png</v>
          </cell>
          <cell r="F140" t="str">
            <v>NewTV</v>
          </cell>
        </row>
        <row r="141">
          <cell r="C141" t="str">
            <v>哒啵赛事</v>
          </cell>
          <cell r="D141" t="str">
            <v>哒啵赛事</v>
          </cell>
          <cell r="E141" t="str">
            <v>哒啵赛事.png</v>
          </cell>
          <cell r="F141" t="str">
            <v>NewTV</v>
          </cell>
        </row>
        <row r="142">
          <cell r="C142" t="str">
            <v>动作电影</v>
          </cell>
          <cell r="D142" t="str">
            <v>动作电影</v>
          </cell>
          <cell r="E142" t="str">
            <v>动作电影.png</v>
          </cell>
          <cell r="F142" t="str">
            <v>NewTV</v>
          </cell>
        </row>
        <row r="143">
          <cell r="C143" t="str">
            <v>福建电视剧</v>
          </cell>
          <cell r="D143" t="str">
            <v>福建电视剧</v>
          </cell>
          <cell r="E143" t="str">
            <v>福建电视剧.png</v>
          </cell>
          <cell r="F143" t="str">
            <v>福建</v>
          </cell>
        </row>
        <row r="144">
          <cell r="C144" t="str">
            <v>福建公共</v>
          </cell>
          <cell r="D144" t="str">
            <v>福建公共</v>
          </cell>
          <cell r="E144" t="str">
            <v>福建公共.png</v>
          </cell>
          <cell r="F144" t="str">
            <v>福建</v>
          </cell>
        </row>
        <row r="145">
          <cell r="C145" t="str">
            <v>福建教育</v>
          </cell>
          <cell r="D145" t="str">
            <v>福建教育</v>
          </cell>
          <cell r="E145" t="str">
            <v>福建教育.png</v>
          </cell>
          <cell r="F145" t="str">
            <v>福建</v>
          </cell>
        </row>
        <row r="146">
          <cell r="C146" t="str">
            <v>福建经济</v>
          </cell>
          <cell r="D146" t="str">
            <v>福建经济</v>
          </cell>
          <cell r="E146" t="str">
            <v>福建经济.png</v>
          </cell>
          <cell r="F146" t="str">
            <v>福建</v>
          </cell>
        </row>
        <row r="147">
          <cell r="C147" t="str">
            <v>福建旅游</v>
          </cell>
          <cell r="D147" t="str">
            <v>福建旅游</v>
          </cell>
          <cell r="E147" t="str">
            <v>福建旅游.png</v>
          </cell>
          <cell r="F147" t="str">
            <v>福建</v>
          </cell>
        </row>
        <row r="148">
          <cell r="C148" t="str">
            <v>福建少儿</v>
          </cell>
          <cell r="D148" t="str">
            <v>福建少儿</v>
          </cell>
          <cell r="E148" t="str">
            <v>福建少儿.png</v>
          </cell>
          <cell r="F148" t="str">
            <v>福建</v>
          </cell>
        </row>
        <row r="149">
          <cell r="C149" t="str">
            <v>福建文体</v>
          </cell>
          <cell r="D149" t="str">
            <v>福建文体</v>
          </cell>
          <cell r="E149" t="str">
            <v>福建文体.png</v>
          </cell>
          <cell r="F149" t="str">
            <v>福建</v>
          </cell>
        </row>
        <row r="150">
          <cell r="C150" t="str">
            <v>福建新闻</v>
          </cell>
          <cell r="D150" t="str">
            <v>福建新闻</v>
          </cell>
          <cell r="E150" t="str">
            <v>福建新闻.png</v>
          </cell>
          <cell r="F150" t="str">
            <v>福建</v>
          </cell>
        </row>
        <row r="151">
          <cell r="C151" t="str">
            <v>福建综合</v>
          </cell>
          <cell r="D151" t="str">
            <v>福建综合</v>
          </cell>
          <cell r="E151" t="str">
            <v>福建综合.png</v>
          </cell>
          <cell r="F151" t="str">
            <v>福建</v>
          </cell>
        </row>
        <row r="152">
          <cell r="C152" t="str">
            <v>古装剧场</v>
          </cell>
          <cell r="D152" t="str">
            <v>古装剧场</v>
          </cell>
          <cell r="E152" t="str">
            <v>古装剧场.png</v>
          </cell>
          <cell r="F152" t="str">
            <v>福建</v>
          </cell>
        </row>
        <row r="153">
          <cell r="C153" t="str">
            <v>海峡卫视</v>
          </cell>
          <cell r="D153" t="str">
            <v>海峡卫视</v>
          </cell>
          <cell r="E153" t="str">
            <v>海峡卫视.png</v>
          </cell>
          <cell r="F153" t="str">
            <v>卫视</v>
          </cell>
        </row>
        <row r="154">
          <cell r="C154" t="str">
            <v>黑莓电影</v>
          </cell>
          <cell r="D154" t="str">
            <v>黑莓电影</v>
          </cell>
          <cell r="E154" t="str">
            <v>黑莓电影.png</v>
          </cell>
          <cell r="F154" t="str">
            <v>NewTV</v>
          </cell>
        </row>
        <row r="155">
          <cell r="C155" t="str">
            <v>黑莓动画</v>
          </cell>
          <cell r="D155" t="str">
            <v>黑莓动画</v>
          </cell>
          <cell r="E155" t="str">
            <v>黑莓动画.png</v>
          </cell>
          <cell r="F155" t="str">
            <v>NewTV</v>
          </cell>
        </row>
        <row r="156">
          <cell r="C156" t="str">
            <v>华数电视剧</v>
          </cell>
          <cell r="D156" t="str">
            <v>华数电视剧</v>
          </cell>
          <cell r="E156" t="str">
            <v>华数电视剧.png</v>
          </cell>
          <cell r="F156" t="str">
            <v>付费</v>
          </cell>
        </row>
        <row r="157">
          <cell r="C157" t="str">
            <v>华数电影</v>
          </cell>
          <cell r="D157" t="str">
            <v>华数电影</v>
          </cell>
          <cell r="E157" t="str">
            <v>华数电影.png</v>
          </cell>
          <cell r="F157" t="str">
            <v>付费</v>
          </cell>
        </row>
        <row r="158">
          <cell r="C158" t="str">
            <v>环球奇观</v>
          </cell>
          <cell r="D158" t="str">
            <v>环球奇观</v>
          </cell>
          <cell r="E158" t="str">
            <v>环球奇观.png</v>
          </cell>
          <cell r="F158" t="str">
            <v>付费</v>
          </cell>
        </row>
        <row r="159">
          <cell r="C159" t="str">
            <v>家庭剧场</v>
          </cell>
          <cell r="D159" t="str">
            <v>家庭剧场</v>
          </cell>
          <cell r="E159" t="str">
            <v>家庭剧场.png</v>
          </cell>
          <cell r="F159" t="str">
            <v>NewTV</v>
          </cell>
        </row>
        <row r="160">
          <cell r="C160" t="str">
            <v>嘉佳卡通</v>
          </cell>
          <cell r="D160" t="str">
            <v>嘉佳卡通</v>
          </cell>
          <cell r="E160" t="str">
            <v>嘉佳卡通.png</v>
          </cell>
          <cell r="F160" t="str">
            <v>付费</v>
          </cell>
        </row>
        <row r="161">
          <cell r="C161" t="str">
            <v>金牌综艺</v>
          </cell>
          <cell r="D161" t="str">
            <v>金牌综艺</v>
          </cell>
          <cell r="E161" t="str">
            <v>金牌综艺.png</v>
          </cell>
          <cell r="F161" t="str">
            <v>NewTV</v>
          </cell>
        </row>
        <row r="162">
          <cell r="C162" t="str">
            <v>金鹰纪实</v>
          </cell>
          <cell r="D162" t="str">
            <v>金鹰纪实</v>
          </cell>
          <cell r="E162" t="str">
            <v>金鹰纪实.png</v>
          </cell>
          <cell r="F162" t="str">
            <v>付费</v>
          </cell>
        </row>
        <row r="163">
          <cell r="C163" t="str">
            <v>惊悚悬疑</v>
          </cell>
          <cell r="D163" t="str">
            <v>惊悚悬疑</v>
          </cell>
          <cell r="E163" t="str">
            <v>惊悚悬疑.png</v>
          </cell>
          <cell r="F163" t="str">
            <v>NewTV</v>
          </cell>
        </row>
        <row r="164">
          <cell r="C164" t="str">
            <v>精彩轮播</v>
          </cell>
          <cell r="D164" t="str">
            <v>精彩轮播</v>
          </cell>
          <cell r="E164" t="str">
            <v>精彩轮播.png</v>
          </cell>
          <cell r="F164" t="str">
            <v>NewTV</v>
          </cell>
        </row>
        <row r="165">
          <cell r="C165" t="str">
            <v>精品大剧</v>
          </cell>
          <cell r="D165" t="str">
            <v>精品大剧</v>
          </cell>
          <cell r="E165" t="str">
            <v>精品大剧.png</v>
          </cell>
          <cell r="F165" t="str">
            <v>NewTV</v>
          </cell>
        </row>
        <row r="166">
          <cell r="C166" t="str">
            <v>精品纪录</v>
          </cell>
          <cell r="D166" t="str">
            <v>精品纪录</v>
          </cell>
          <cell r="E166" t="str">
            <v>精品纪录.png</v>
          </cell>
          <cell r="F166" t="str">
            <v>NewTV</v>
          </cell>
        </row>
        <row r="167">
          <cell r="C167" t="str">
            <v>精品萌宠</v>
          </cell>
          <cell r="D167" t="str">
            <v>精品萌宠</v>
          </cell>
          <cell r="E167" t="str">
            <v>精品萌宠.png</v>
          </cell>
          <cell r="F167" t="str">
            <v>NewTV</v>
          </cell>
        </row>
        <row r="168">
          <cell r="C168" t="str">
            <v>精品体育</v>
          </cell>
          <cell r="D168" t="str">
            <v>精品体育</v>
          </cell>
          <cell r="E168" t="str">
            <v>精品体育.png</v>
          </cell>
          <cell r="F168" t="str">
            <v>NewTV</v>
          </cell>
        </row>
        <row r="169">
          <cell r="C169" t="str">
            <v>军旅剧场</v>
          </cell>
          <cell r="D169" t="str">
            <v>军旅剧场</v>
          </cell>
          <cell r="E169" t="str">
            <v>军旅剧场.png</v>
          </cell>
          <cell r="F169" t="str">
            <v>NewTV</v>
          </cell>
        </row>
        <row r="170">
          <cell r="C170" t="str">
            <v>军事评论</v>
          </cell>
          <cell r="D170" t="str">
            <v>军事评论</v>
          </cell>
          <cell r="E170" t="str">
            <v>军事评论.png</v>
          </cell>
          <cell r="F170" t="str">
            <v>NewTV</v>
          </cell>
        </row>
        <row r="171">
          <cell r="C171" t="str">
            <v>老电影</v>
          </cell>
          <cell r="D171" t="str">
            <v>老电影</v>
          </cell>
          <cell r="E171" t="str">
            <v>老电影.png</v>
          </cell>
          <cell r="F171" t="str">
            <v>付费</v>
          </cell>
        </row>
        <row r="172">
          <cell r="C172" t="str">
            <v>热播精选</v>
          </cell>
          <cell r="D172" t="str">
            <v>热播精选</v>
          </cell>
          <cell r="E172" t="str">
            <v>热播精选.png</v>
          </cell>
          <cell r="F172" t="str">
            <v>NewTV</v>
          </cell>
        </row>
        <row r="173">
          <cell r="C173" t="str">
            <v>厦门二套</v>
          </cell>
          <cell r="D173" t="str">
            <v>厦门二套</v>
          </cell>
          <cell r="E173" t="str">
            <v>厦门二套.png</v>
          </cell>
          <cell r="F173" t="str">
            <v>福建</v>
          </cell>
        </row>
        <row r="174">
          <cell r="C174" t="str">
            <v>厦门三套</v>
          </cell>
          <cell r="D174" t="str">
            <v>厦门三套</v>
          </cell>
          <cell r="E174" t="str">
            <v>厦门三套.png</v>
          </cell>
          <cell r="F174" t="str">
            <v>福建</v>
          </cell>
        </row>
        <row r="175">
          <cell r="C175" t="str">
            <v>厦门卫视</v>
          </cell>
          <cell r="D175" t="str">
            <v>厦门卫视</v>
          </cell>
          <cell r="E175" t="str">
            <v>厦门卫视.png</v>
          </cell>
          <cell r="F175" t="str">
            <v>卫视</v>
          </cell>
        </row>
        <row r="176">
          <cell r="C176" t="str">
            <v>厦门一套</v>
          </cell>
          <cell r="D176" t="str">
            <v>厦门一套</v>
          </cell>
          <cell r="E176" t="str">
            <v>厦门一套.png</v>
          </cell>
          <cell r="F176" t="str">
            <v>福建</v>
          </cell>
        </row>
        <row r="177">
          <cell r="C177" t="str">
            <v>山东教育卫视</v>
          </cell>
          <cell r="D177" t="str">
            <v>山东教育卫视</v>
          </cell>
          <cell r="E177" t="str">
            <v>山东教育卫视.png</v>
          </cell>
          <cell r="F177" t="str">
            <v>卫视</v>
          </cell>
        </row>
        <row r="178">
          <cell r="C178" t="str">
            <v>生态环境</v>
          </cell>
          <cell r="D178" t="str">
            <v>生态环境</v>
          </cell>
          <cell r="E178" t="str">
            <v>生态环境.png</v>
          </cell>
          <cell r="F178" t="str">
            <v>付费</v>
          </cell>
        </row>
        <row r="179">
          <cell r="C179" t="str">
            <v>先锋乒羽</v>
          </cell>
          <cell r="D179" t="str">
            <v>先锋乒羽</v>
          </cell>
          <cell r="E179" t="str">
            <v>先锋乒羽.png</v>
          </cell>
          <cell r="F179" t="str">
            <v>付费</v>
          </cell>
        </row>
        <row r="180">
          <cell r="C180" t="str">
            <v>新动漫</v>
          </cell>
          <cell r="D180" t="str">
            <v>新动漫</v>
          </cell>
          <cell r="E180" t="str">
            <v>新动漫.png</v>
          </cell>
          <cell r="F180" t="str">
            <v>付费</v>
          </cell>
        </row>
        <row r="181">
          <cell r="C181" t="str">
            <v>炫舞未来</v>
          </cell>
          <cell r="D181" t="str">
            <v>炫舞未来</v>
          </cell>
          <cell r="E181" t="str">
            <v>炫舞未来.png</v>
          </cell>
          <cell r="F181" t="str">
            <v>NewTV</v>
          </cell>
        </row>
        <row r="182">
          <cell r="C182" t="str">
            <v>怡伴健康</v>
          </cell>
          <cell r="D182" t="str">
            <v>怡伴健康</v>
          </cell>
          <cell r="E182" t="str">
            <v>怡伴健康.png</v>
          </cell>
          <cell r="F182" t="str">
            <v>NewTV</v>
          </cell>
        </row>
        <row r="183">
          <cell r="C183" t="str">
            <v>优漫卡通</v>
          </cell>
          <cell r="D183" t="str">
            <v>优漫卡通</v>
          </cell>
          <cell r="E183" t="str">
            <v>优漫卡通.png</v>
          </cell>
          <cell r="F183" t="str">
            <v>付费</v>
          </cell>
        </row>
        <row r="184">
          <cell r="C184" t="str">
            <v>优优宝贝</v>
          </cell>
          <cell r="D184" t="str">
            <v>优优宝贝</v>
          </cell>
          <cell r="E184" t="str">
            <v>优优宝贝.png</v>
          </cell>
          <cell r="F184" t="str">
            <v>付费</v>
          </cell>
        </row>
        <row r="185">
          <cell r="C185" t="str">
            <v>中国功夫</v>
          </cell>
          <cell r="D185" t="str">
            <v>中国功夫</v>
          </cell>
          <cell r="E185" t="str">
            <v>中国功夫.png</v>
          </cell>
          <cell r="F185" t="str">
            <v>NewTV</v>
          </cell>
        </row>
        <row r="186">
          <cell r="C186" t="str">
            <v>中国天气</v>
          </cell>
          <cell r="D186" t="str">
            <v>中国天气</v>
          </cell>
          <cell r="E186" t="str">
            <v>中国天气.png</v>
          </cell>
          <cell r="F186" t="str">
            <v>付费</v>
          </cell>
        </row>
        <row r="187">
          <cell r="C187" t="str">
            <v>中华特产</v>
          </cell>
          <cell r="D187" t="str">
            <v>中华特产</v>
          </cell>
          <cell r="E187" t="str">
            <v>中华特产.png</v>
          </cell>
          <cell r="F187" t="str">
            <v>付费</v>
          </cell>
        </row>
        <row r="188">
          <cell r="C188" t="str">
            <v>江苏城市</v>
          </cell>
          <cell r="D188" t="str">
            <v>江苏城市</v>
          </cell>
          <cell r="E188" t="str">
            <v>江苏城市.png</v>
          </cell>
          <cell r="F188" t="str">
            <v>江苏</v>
          </cell>
        </row>
        <row r="189">
          <cell r="C189" t="str">
            <v>江苏综艺</v>
          </cell>
          <cell r="D189" t="str">
            <v>江苏综艺</v>
          </cell>
          <cell r="E189" t="str">
            <v>江苏综艺.png</v>
          </cell>
          <cell r="F189" t="str">
            <v>江苏</v>
          </cell>
        </row>
        <row r="190">
          <cell r="C190" t="str">
            <v>江苏体育・休闲</v>
          </cell>
          <cell r="D190" t="str">
            <v>江苏体育・休闲</v>
          </cell>
          <cell r="E190" t="str">
            <v>江苏体育・休闲.png</v>
          </cell>
          <cell r="F190" t="str">
            <v>江苏</v>
          </cell>
        </row>
        <row r="191">
          <cell r="C191" t="str">
            <v>江苏影视</v>
          </cell>
          <cell r="D191" t="str">
            <v>江苏影视</v>
          </cell>
          <cell r="E191" t="str">
            <v>江苏影视.png</v>
          </cell>
          <cell r="F191" t="str">
            <v>江苏</v>
          </cell>
        </row>
        <row r="192">
          <cell r="C192" t="str">
            <v>江苏新闻</v>
          </cell>
          <cell r="D192" t="str">
            <v>江苏新闻</v>
          </cell>
          <cell r="E192" t="str">
            <v>江苏新闻.png</v>
          </cell>
          <cell r="F192" t="str">
            <v>江苏</v>
          </cell>
        </row>
        <row r="193">
          <cell r="C193" t="str">
            <v>江苏国际</v>
          </cell>
          <cell r="D193" t="str">
            <v>江苏国际</v>
          </cell>
          <cell r="E193" t="str">
            <v>江苏国际.png</v>
          </cell>
          <cell r="F193" t="str">
            <v>江苏</v>
          </cell>
        </row>
        <row r="194">
          <cell r="C194" t="str">
            <v>好享购物</v>
          </cell>
          <cell r="D194" t="str">
            <v>好享购物</v>
          </cell>
          <cell r="E194" t="str">
            <v>好享购物.png</v>
          </cell>
          <cell r="F194" t="str">
            <v>江苏</v>
          </cell>
        </row>
        <row r="195">
          <cell r="C195" t="str">
            <v>江苏教育</v>
          </cell>
          <cell r="D195" t="str">
            <v>江苏教育</v>
          </cell>
          <cell r="E195" t="str">
            <v>江苏教育.png</v>
          </cell>
          <cell r="F195" t="str">
            <v>江苏</v>
          </cell>
        </row>
        <row r="196">
          <cell r="C196" t="str">
            <v>财富天下</v>
          </cell>
          <cell r="D196" t="str">
            <v>财富天下</v>
          </cell>
          <cell r="E196" t="str">
            <v>财富天下.png</v>
          </cell>
          <cell r="F196" t="str">
            <v>付费</v>
          </cell>
        </row>
        <row r="197">
          <cell r="C197" t="str">
            <v>南京科教</v>
          </cell>
          <cell r="D197" t="str">
            <v>南京科教</v>
          </cell>
          <cell r="E197" t="str">
            <v>南京科教.png</v>
          </cell>
          <cell r="F197" t="str">
            <v>江苏</v>
          </cell>
        </row>
        <row r="198">
          <cell r="C198" t="str">
            <v>无频道</v>
          </cell>
          <cell r="D198" t="str">
            <v>无频道</v>
          </cell>
          <cell r="E198" t="str">
            <v>无频道.png</v>
          </cell>
          <cell r="F198" t="str">
            <v>其他</v>
          </cell>
        </row>
        <row r="199">
          <cell r="C199" t="str">
            <v>南京新闻综合</v>
          </cell>
          <cell r="D199" t="str">
            <v>南京新闻综合</v>
          </cell>
          <cell r="E199" t="str">
            <v>南京新闻综合.png</v>
          </cell>
          <cell r="F199" t="str">
            <v>江苏</v>
          </cell>
        </row>
        <row r="200">
          <cell r="C200" t="str">
            <v>南京十八・生活</v>
          </cell>
          <cell r="D200" t="str">
            <v>南京十八・生活</v>
          </cell>
          <cell r="E200" t="str">
            <v>南京十八・生活.png</v>
          </cell>
          <cell r="F200" t="str">
            <v>江苏</v>
          </cell>
        </row>
        <row r="201">
          <cell r="C201" t="str">
            <v>城市宣传片</v>
          </cell>
          <cell r="D201" t="str">
            <v>城市宣传片</v>
          </cell>
          <cell r="E201" t="str">
            <v>城市宣传片.png</v>
          </cell>
          <cell r="F201" t="str">
            <v>江苏</v>
          </cell>
        </row>
        <row r="202">
          <cell r="C202" t="str">
            <v>南京影视</v>
          </cell>
          <cell r="D202" t="str">
            <v>南京影视</v>
          </cell>
          <cell r="E202" t="str">
            <v>南京影视.png</v>
          </cell>
          <cell r="F202" t="str">
            <v>江苏</v>
          </cell>
        </row>
        <row r="203">
          <cell r="C203" t="str">
            <v>南京文旅记录</v>
          </cell>
          <cell r="D203" t="str">
            <v>南京文旅记录</v>
          </cell>
          <cell r="E203" t="str">
            <v>南京文旅记录.png</v>
          </cell>
          <cell r="F203" t="str">
            <v>江苏</v>
          </cell>
        </row>
        <row r="204">
          <cell r="C204" t="str">
            <v>南京少儿</v>
          </cell>
          <cell r="D204" t="str">
            <v>南京少儿</v>
          </cell>
          <cell r="E204" t="str">
            <v>南京少儿.png</v>
          </cell>
          <cell r="F204" t="str">
            <v>江苏</v>
          </cell>
        </row>
        <row r="205">
          <cell r="C205" t="str">
            <v>梨园频道</v>
          </cell>
          <cell r="D205" t="str">
            <v>梨园频道</v>
          </cell>
          <cell r="E205" t="str">
            <v>梨园频道.png</v>
          </cell>
          <cell r="F205" t="str">
            <v>付费</v>
          </cell>
        </row>
        <row r="206">
          <cell r="C206" t="str">
            <v>武术世界</v>
          </cell>
          <cell r="D206" t="str">
            <v>武术世界</v>
          </cell>
          <cell r="E206" t="str">
            <v>武术世界.png</v>
          </cell>
          <cell r="F206" t="str">
            <v>付费</v>
          </cell>
        </row>
        <row r="207">
          <cell r="C207" t="str">
            <v>文物宝库</v>
          </cell>
          <cell r="D207" t="str">
            <v>文物宝库</v>
          </cell>
          <cell r="E207" t="str">
            <v>文物宝库.png</v>
          </cell>
          <cell r="F207" t="str">
            <v>付费</v>
          </cell>
        </row>
        <row r="208">
          <cell r="C208" t="str">
            <v>法治天地</v>
          </cell>
          <cell r="D208" t="str">
            <v>法治天地</v>
          </cell>
          <cell r="E208" t="str">
            <v>法治天地.png</v>
          </cell>
          <cell r="F208" t="str">
            <v>江苏</v>
          </cell>
        </row>
        <row r="209">
          <cell r="C209" t="str">
            <v>广播</v>
          </cell>
          <cell r="D209" t="str">
            <v>广播</v>
          </cell>
          <cell r="E209" t="str">
            <v>广播.png</v>
          </cell>
          <cell r="F209" t="str">
            <v>江苏</v>
          </cell>
        </row>
        <row r="210">
          <cell r="C210" t="str">
            <v>优购物</v>
          </cell>
          <cell r="D210" t="str">
            <v>优购物</v>
          </cell>
          <cell r="E210" t="str">
            <v>优购物.png</v>
          </cell>
          <cell r="F210" t="str">
            <v>付费</v>
          </cell>
        </row>
        <row r="211">
          <cell r="C211" t="str">
            <v>家有购物</v>
          </cell>
          <cell r="D211" t="str">
            <v>家有购物</v>
          </cell>
          <cell r="E211" t="str">
            <v>家有购物.png</v>
          </cell>
          <cell r="F211" t="str">
            <v>付费</v>
          </cell>
        </row>
        <row r="212">
          <cell r="C212" t="str">
            <v>维护中</v>
          </cell>
          <cell r="D212" t="str">
            <v>维护中</v>
          </cell>
          <cell r="E212" t="str">
            <v>维护中.png</v>
          </cell>
          <cell r="F212" t="str">
            <v>付费</v>
          </cell>
        </row>
        <row r="213">
          <cell r="C213" t="str">
            <v>BesTV LIVE</v>
          </cell>
          <cell r="D213" t="str">
            <v>BesTV LIVE</v>
          </cell>
          <cell r="E213" t="str">
            <v>BesTV LIVE.png</v>
          </cell>
          <cell r="F213" t="str">
            <v>付费</v>
          </cell>
        </row>
        <row r="214">
          <cell r="C214" t="str">
            <v>安多卫视</v>
          </cell>
          <cell r="D214" t="str">
            <v>安多卫视</v>
          </cell>
          <cell r="E214" t="str">
            <v>安多卫视.png</v>
          </cell>
          <cell r="F214" t="str">
            <v>卫视</v>
          </cell>
        </row>
        <row r="215">
          <cell r="C215" t="str">
            <v>直播间</v>
          </cell>
          <cell r="D215" t="str">
            <v>直播间</v>
          </cell>
          <cell r="E215" t="str">
            <v>直播间.png</v>
          </cell>
          <cell r="F215" t="str">
            <v>付费</v>
          </cell>
        </row>
        <row r="216">
          <cell r="C216" t="str">
            <v>央广购物</v>
          </cell>
          <cell r="D216" t="str">
            <v>央广购物</v>
          </cell>
          <cell r="E216" t="str">
            <v>央广购物.png</v>
          </cell>
          <cell r="F216" t="str">
            <v>付费</v>
          </cell>
        </row>
        <row r="217">
          <cell r="C217" t="str">
            <v>武搏世界</v>
          </cell>
          <cell r="D217" t="str">
            <v>武搏世界</v>
          </cell>
          <cell r="E217" t="str">
            <v>武搏世界.png</v>
          </cell>
          <cell r="F217" t="str">
            <v>付费</v>
          </cell>
        </row>
        <row r="218">
          <cell r="C218" t="str">
            <v>农业致富</v>
          </cell>
          <cell r="D218" t="str">
            <v>农业致富</v>
          </cell>
          <cell r="E218" t="str">
            <v>农业致富.png</v>
          </cell>
          <cell r="F218" t="str">
            <v>付费</v>
          </cell>
        </row>
        <row r="219">
          <cell r="C219" t="str">
            <v>风尚购物</v>
          </cell>
          <cell r="D219" t="str">
            <v>风尚购物</v>
          </cell>
          <cell r="E219" t="str">
            <v>风尚购物.png</v>
          </cell>
          <cell r="F219" t="str">
            <v>付费</v>
          </cell>
        </row>
        <row r="220">
          <cell r="C220" t="str">
            <v>超级综艺</v>
          </cell>
          <cell r="D220" t="str">
            <v>超级综艺</v>
          </cell>
          <cell r="E220" t="str">
            <v>超级综艺.png</v>
          </cell>
          <cell r="F220" t="str">
            <v>付费</v>
          </cell>
        </row>
        <row r="221">
          <cell r="C221" t="str">
            <v>超级体育</v>
          </cell>
          <cell r="D221" t="str">
            <v>超级体育</v>
          </cell>
          <cell r="E221" t="str">
            <v>超级体育.png</v>
          </cell>
          <cell r="F221" t="str">
            <v>付费</v>
          </cell>
        </row>
        <row r="222">
          <cell r="C222" t="str">
            <v>超级电视剧</v>
          </cell>
          <cell r="D222" t="str">
            <v>超级电视剧</v>
          </cell>
          <cell r="E222" t="str">
            <v>超级电视剧.png</v>
          </cell>
          <cell r="F222" t="str">
            <v>付费</v>
          </cell>
        </row>
        <row r="223">
          <cell r="C223" t="str">
            <v>超级电影</v>
          </cell>
          <cell r="D223" t="str">
            <v>超级电影</v>
          </cell>
          <cell r="E223" t="str">
            <v>超级电影.png</v>
          </cell>
          <cell r="F223" t="str">
            <v>付费</v>
          </cell>
        </row>
        <row r="224">
          <cell r="C224" t="str">
            <v>东北热剧</v>
          </cell>
          <cell r="D224" t="str">
            <v>东北热剧</v>
          </cell>
          <cell r="E224" t="str">
            <v>东北热剧.png</v>
          </cell>
          <cell r="F224" t="str">
            <v>付费</v>
          </cell>
        </row>
        <row r="225">
          <cell r="C225" t="str">
            <v>欢乐剧场</v>
          </cell>
          <cell r="D225" t="str">
            <v>欢乐剧场</v>
          </cell>
          <cell r="E225" t="str">
            <v>欢乐剧场.png</v>
          </cell>
          <cell r="F225" t="str">
            <v>付费</v>
          </cell>
        </row>
        <row r="226">
          <cell r="C226" t="str">
            <v>快乐购</v>
          </cell>
          <cell r="D226" t="str">
            <v>快乐购</v>
          </cell>
          <cell r="E226" t="str">
            <v>快乐购.png</v>
          </cell>
          <cell r="F226" t="str">
            <v>付费</v>
          </cell>
        </row>
        <row r="227">
          <cell r="C227" t="str">
            <v>中视购物</v>
          </cell>
          <cell r="D227" t="str">
            <v>中视购物</v>
          </cell>
          <cell r="E227" t="str">
            <v>中视购物.png</v>
          </cell>
          <cell r="F227" t="str">
            <v>付费</v>
          </cell>
        </row>
        <row r="228">
          <cell r="C228" t="str">
            <v>黑龙江文体</v>
          </cell>
          <cell r="D228" t="str">
            <v>黑龙江文体</v>
          </cell>
          <cell r="E228" t="str">
            <v>黑龙江文体.png</v>
          </cell>
          <cell r="F228" t="str">
            <v>黑龙江</v>
          </cell>
        </row>
        <row r="229">
          <cell r="C229" t="str">
            <v>黑龙江农业科教</v>
          </cell>
          <cell r="D229" t="str">
            <v>黑龙江农业科教</v>
          </cell>
          <cell r="E229" t="str">
            <v>黑龙江农业科教.png</v>
          </cell>
          <cell r="F229" t="str">
            <v>黑龙江</v>
          </cell>
        </row>
        <row r="230">
          <cell r="C230" t="str">
            <v>黑龙江影视</v>
          </cell>
          <cell r="D230" t="str">
            <v>黑龙江影视</v>
          </cell>
          <cell r="E230" t="str">
            <v>黑龙江影视.png</v>
          </cell>
          <cell r="F230" t="str">
            <v>黑龙江</v>
          </cell>
        </row>
        <row r="231">
          <cell r="C231" t="str">
            <v>黑龙江都市</v>
          </cell>
          <cell r="D231" t="str">
            <v>黑龙江都市</v>
          </cell>
          <cell r="E231" t="str">
            <v>黑龙江都市.png</v>
          </cell>
          <cell r="F231" t="str">
            <v>黑龙江</v>
          </cell>
        </row>
        <row r="232">
          <cell r="C232" t="str">
            <v>黑龙江少儿</v>
          </cell>
          <cell r="D232" t="str">
            <v>黑龙江少儿</v>
          </cell>
          <cell r="E232" t="str">
            <v>黑龙江少儿.png</v>
          </cell>
          <cell r="F232" t="str">
            <v>黑龙江</v>
          </cell>
        </row>
        <row r="233">
          <cell r="C233" t="str">
            <v>黑龙江新闻法治</v>
          </cell>
          <cell r="D233" t="str">
            <v>黑龙江新闻法治</v>
          </cell>
          <cell r="E233" t="str">
            <v>黑龙江新闻法治.png</v>
          </cell>
          <cell r="F233" t="str">
            <v>黑龙江</v>
          </cell>
        </row>
        <row r="234">
          <cell r="C234" t="str">
            <v>鸡西新闻综合</v>
          </cell>
          <cell r="D234" t="str">
            <v>鸡西新闻综合</v>
          </cell>
          <cell r="E234" t="str">
            <v>鸡西新闻综合.png</v>
          </cell>
          <cell r="F234" t="str">
            <v>黑龙江</v>
          </cell>
        </row>
        <row r="235">
          <cell r="C235" t="str">
            <v>齐齐哈尔新闻综合</v>
          </cell>
          <cell r="D235" t="str">
            <v>齐齐哈尔新闻综合</v>
          </cell>
          <cell r="E235" t="str">
            <v>齐齐哈尔新闻综合.png</v>
          </cell>
          <cell r="F235" t="str">
            <v>黑龙江</v>
          </cell>
        </row>
        <row r="236">
          <cell r="C236" t="str">
            <v>伊春新闻综合</v>
          </cell>
          <cell r="D236" t="str">
            <v>伊春新闻综合</v>
          </cell>
          <cell r="E236" t="str">
            <v>伊春新闻综合.png</v>
          </cell>
          <cell r="F236" t="str">
            <v>黑龙江</v>
          </cell>
        </row>
        <row r="237">
          <cell r="C237" t="str">
            <v>牡丹江新闻综合</v>
          </cell>
          <cell r="D237" t="str">
            <v>牡丹江新闻综合</v>
          </cell>
          <cell r="E237" t="str">
            <v>牡丹江新闻综合.png</v>
          </cell>
          <cell r="F237" t="str">
            <v>黑龙江</v>
          </cell>
        </row>
        <row r="238">
          <cell r="C238" t="str">
            <v>哈尔滨新闻综合</v>
          </cell>
          <cell r="D238" t="str">
            <v>哈尔滨新闻综合</v>
          </cell>
          <cell r="E238" t="str">
            <v>哈尔滨新闻综合.png</v>
          </cell>
          <cell r="F238" t="str">
            <v>黑龙江</v>
          </cell>
        </row>
        <row r="239">
          <cell r="C239" t="str">
            <v>佳木斯新闻综合</v>
          </cell>
          <cell r="D239" t="str">
            <v>佳木斯新闻综合</v>
          </cell>
          <cell r="E239" t="str">
            <v>佳木斯新闻综合.png</v>
          </cell>
          <cell r="F239" t="str">
            <v>黑龙江</v>
          </cell>
        </row>
        <row r="240">
          <cell r="C240" t="str">
            <v>大庆新闻综合</v>
          </cell>
          <cell r="D240" t="str">
            <v>大庆新闻综合</v>
          </cell>
          <cell r="E240" t="str">
            <v>大庆新闻综合.png</v>
          </cell>
          <cell r="F240" t="str">
            <v>黑龙江</v>
          </cell>
        </row>
        <row r="241">
          <cell r="C241" t="str">
            <v>齐齐哈尔经济法治</v>
          </cell>
          <cell r="D241" t="str">
            <v>齐齐哈尔经济法治</v>
          </cell>
          <cell r="E241" t="str">
            <v>齐齐哈尔经济法治.png</v>
          </cell>
          <cell r="F241" t="str">
            <v>黑龙江</v>
          </cell>
        </row>
        <row r="242">
          <cell r="C242" t="str">
            <v>鹤岗新闻综合</v>
          </cell>
          <cell r="D242" t="str">
            <v>鹤岗新闻综合</v>
          </cell>
          <cell r="E242" t="str">
            <v>鹤岗新闻综合.png</v>
          </cell>
          <cell r="F242" t="str">
            <v>黑龙江</v>
          </cell>
        </row>
        <row r="243">
          <cell r="C243" t="str">
            <v>漠河新闻综合</v>
          </cell>
          <cell r="D243" t="str">
            <v>漠河新闻综合</v>
          </cell>
          <cell r="E243" t="str">
            <v>漠河新闻综合.png</v>
          </cell>
          <cell r="F243" t="str">
            <v>黑龙江</v>
          </cell>
        </row>
        <row r="244">
          <cell r="C244" t="str">
            <v>双鸭山新闻综合</v>
          </cell>
          <cell r="D244" t="str">
            <v>双鸭山新闻综合</v>
          </cell>
          <cell r="E244" t="str">
            <v>双鸭山新闻综合.png</v>
          </cell>
          <cell r="F244" t="str">
            <v>黑龙江</v>
          </cell>
        </row>
        <row r="245">
          <cell r="C245" t="str">
            <v>大庆教育频道</v>
          </cell>
          <cell r="D245" t="str">
            <v>大庆教育频道</v>
          </cell>
          <cell r="E245" t="str">
            <v>大庆教育频道.png</v>
          </cell>
          <cell r="F245" t="str">
            <v>黑龙江</v>
          </cell>
        </row>
        <row r="246">
          <cell r="C246" t="str">
            <v>哈尔滨生活</v>
          </cell>
          <cell r="D246" t="str">
            <v>哈尔滨生活</v>
          </cell>
          <cell r="E246" t="str">
            <v>哈尔滨生活.png</v>
          </cell>
          <cell r="F246" t="str">
            <v>黑龙江</v>
          </cell>
        </row>
        <row r="247">
          <cell r="C247" t="str">
            <v>哈尔滨影视</v>
          </cell>
          <cell r="D247" t="str">
            <v>哈尔滨影视</v>
          </cell>
          <cell r="E247" t="str">
            <v>哈尔滨影视.png</v>
          </cell>
          <cell r="F247" t="str">
            <v>黑龙江</v>
          </cell>
        </row>
        <row r="248">
          <cell r="C248" t="str">
            <v>CCTV高尔夫网球</v>
          </cell>
          <cell r="D248" t="str">
            <v>CCTV高尔夫网球</v>
          </cell>
          <cell r="E248" t="str">
            <v>CCTV高尔夫网球.png</v>
          </cell>
          <cell r="F248" t="str">
            <v>CCTV</v>
          </cell>
        </row>
        <row r="249">
          <cell r="C249" t="str">
            <v>CHC动作电影</v>
          </cell>
          <cell r="D249" t="str">
            <v>CHC动作电影</v>
          </cell>
          <cell r="E249" t="str">
            <v>CHC动作电影.png</v>
          </cell>
          <cell r="F249" t="str">
            <v>数字</v>
          </cell>
        </row>
        <row r="250">
          <cell r="C250" t="str">
            <v>CHC家庭影院</v>
          </cell>
          <cell r="D250" t="str">
            <v>CHC家庭影院</v>
          </cell>
          <cell r="E250" t="str">
            <v>CHC家庭影院.png</v>
          </cell>
          <cell r="F250" t="str">
            <v>数字</v>
          </cell>
        </row>
        <row r="251">
          <cell r="C251" t="str">
            <v>哒啵电竞</v>
          </cell>
          <cell r="D251" t="str">
            <v>哒啵电竞</v>
          </cell>
          <cell r="E251" t="str">
            <v>哒啵电竞.png</v>
          </cell>
          <cell r="F251" t="str">
            <v>NewTV</v>
          </cell>
        </row>
        <row r="252">
          <cell r="C252" t="str">
            <v>大湾区卫视</v>
          </cell>
          <cell r="D252" t="str">
            <v>大湾区卫视</v>
          </cell>
          <cell r="E252" t="str">
            <v>大湾区卫视.png</v>
          </cell>
          <cell r="F252" t="str">
            <v>卫视</v>
          </cell>
        </row>
        <row r="253">
          <cell r="C253" t="str">
            <v>凤凰卫视中文台</v>
          </cell>
          <cell r="D253" t="str">
            <v>凤凰卫视中文台</v>
          </cell>
          <cell r="E253" t="str">
            <v>凤凰卫视中文台.png</v>
          </cell>
          <cell r="F253" t="str">
            <v>卫视</v>
          </cell>
        </row>
        <row r="254">
          <cell r="C254" t="str">
            <v>凤凰卫视香港台</v>
          </cell>
          <cell r="D254" t="str">
            <v>凤凰卫视香港台</v>
          </cell>
          <cell r="E254" t="str">
            <v>凤凰卫视香港台.png</v>
          </cell>
          <cell r="F254" t="str">
            <v>卫视</v>
          </cell>
        </row>
        <row r="255">
          <cell r="C255" t="str">
            <v>凤凰卫视资讯台</v>
          </cell>
          <cell r="D255" t="str">
            <v>凤凰卫视资讯台</v>
          </cell>
          <cell r="E255" t="str">
            <v>凤凰卫视资讯台.png</v>
          </cell>
          <cell r="F255" t="str">
            <v>卫视</v>
          </cell>
        </row>
        <row r="256">
          <cell r="C256" t="str">
            <v>广东珠江</v>
          </cell>
          <cell r="D256" t="str">
            <v>广东珠江</v>
          </cell>
          <cell r="E256" t="str">
            <v>广东珠江.png</v>
          </cell>
          <cell r="F256" t="str">
            <v>广东</v>
          </cell>
        </row>
        <row r="257">
          <cell r="C257" t="str">
            <v>广西都市</v>
          </cell>
          <cell r="D257" t="str">
            <v>广西都市</v>
          </cell>
          <cell r="E257" t="str">
            <v>广西都市.png</v>
          </cell>
          <cell r="F257" t="str">
            <v>广西</v>
          </cell>
        </row>
        <row r="258">
          <cell r="C258" t="str">
            <v>广西乐思购</v>
          </cell>
          <cell r="D258" t="str">
            <v>广西乐思购</v>
          </cell>
          <cell r="E258" t="str">
            <v>广西乐思购.png</v>
          </cell>
          <cell r="F258" t="str">
            <v>广西</v>
          </cell>
        </row>
        <row r="259">
          <cell r="C259" t="str">
            <v>广西新闻</v>
          </cell>
          <cell r="D259" t="str">
            <v>广西新闻</v>
          </cell>
          <cell r="E259" t="str">
            <v>广西新闻.png</v>
          </cell>
          <cell r="F259" t="str">
            <v>广西</v>
          </cell>
        </row>
        <row r="260">
          <cell r="C260" t="str">
            <v>广西移动</v>
          </cell>
          <cell r="D260" t="str">
            <v>广西移动</v>
          </cell>
          <cell r="E260" t="str">
            <v>广西移动.png</v>
          </cell>
          <cell r="F260" t="str">
            <v>广西</v>
          </cell>
        </row>
        <row r="261">
          <cell r="C261" t="str">
            <v>广西影视</v>
          </cell>
          <cell r="D261" t="str">
            <v>广西影视</v>
          </cell>
          <cell r="E261" t="str">
            <v>广西影视.png</v>
          </cell>
          <cell r="F261" t="str">
            <v>广西</v>
          </cell>
        </row>
        <row r="262">
          <cell r="C262" t="str">
            <v>广西综艺旅游</v>
          </cell>
          <cell r="D262" t="str">
            <v>广西综艺旅游</v>
          </cell>
          <cell r="E262" t="str">
            <v>广西综艺旅游.png</v>
          </cell>
          <cell r="F262" t="str">
            <v>广西</v>
          </cell>
        </row>
        <row r="263">
          <cell r="C263" t="str">
            <v>咪视界</v>
          </cell>
          <cell r="D263" t="str">
            <v>咪视界</v>
          </cell>
          <cell r="E263" t="str">
            <v>咪视界.png</v>
          </cell>
          <cell r="F263" t="str">
            <v>咪咕</v>
          </cell>
        </row>
        <row r="264">
          <cell r="C264" t="str">
            <v>咪咕4K</v>
          </cell>
          <cell r="D264" t="str">
            <v>咪咕4K</v>
          </cell>
          <cell r="E264" t="str">
            <v>咪咕4K.png</v>
          </cell>
          <cell r="F264" t="str">
            <v>咪咕</v>
          </cell>
        </row>
        <row r="265">
          <cell r="C265" t="str">
            <v>南宁公共</v>
          </cell>
          <cell r="D265" t="str">
            <v>南宁公共</v>
          </cell>
          <cell r="E265" t="str">
            <v>南宁公共.png</v>
          </cell>
          <cell r="F265" t="str">
            <v>广西</v>
          </cell>
        </row>
        <row r="266">
          <cell r="C266" t="str">
            <v>南宁文旅生活</v>
          </cell>
          <cell r="D266" t="str">
            <v>南宁文旅生活</v>
          </cell>
          <cell r="E266" t="str">
            <v>南宁文旅生活.png</v>
          </cell>
          <cell r="F266" t="str">
            <v>广西</v>
          </cell>
        </row>
        <row r="267">
          <cell r="C267" t="str">
            <v>南宁新闻综合</v>
          </cell>
          <cell r="D267" t="str">
            <v>南宁新闻综合</v>
          </cell>
          <cell r="E267" t="str">
            <v>南宁新闻综合.png</v>
          </cell>
          <cell r="F267" t="str">
            <v>广西</v>
          </cell>
        </row>
        <row r="268">
          <cell r="C268" t="str">
            <v>南宁影视娱乐</v>
          </cell>
          <cell r="D268" t="str">
            <v>南宁影视娱乐</v>
          </cell>
          <cell r="E268" t="str">
            <v>南宁影视娱乐.png</v>
          </cell>
          <cell r="F268" t="str">
            <v>广西</v>
          </cell>
        </row>
        <row r="269">
          <cell r="C269" t="str">
            <v>西藏卫视藏语</v>
          </cell>
          <cell r="D269" t="str">
            <v>西藏卫视藏语</v>
          </cell>
          <cell r="E269" t="str">
            <v>西藏卫视藏语.png</v>
          </cell>
          <cell r="F269" t="str">
            <v>卫视</v>
          </cell>
        </row>
        <row r="270">
          <cell r="C270" t="str">
            <v>玉林公共</v>
          </cell>
          <cell r="D270" t="str">
            <v>玉林公共</v>
          </cell>
          <cell r="E270" t="str">
            <v>玉林公共.png</v>
          </cell>
          <cell r="F270" t="str">
            <v>广西</v>
          </cell>
        </row>
        <row r="271">
          <cell r="C271" t="str">
            <v>玉林新闻综合</v>
          </cell>
          <cell r="D271" t="str">
            <v>玉林新闻综合</v>
          </cell>
          <cell r="E271" t="str">
            <v>玉林新闻综合.png</v>
          </cell>
          <cell r="F271" t="str">
            <v>广西</v>
          </cell>
        </row>
        <row r="272">
          <cell r="C272" t="str">
            <v>百色综合</v>
          </cell>
          <cell r="D272" t="str">
            <v>百色综合</v>
          </cell>
          <cell r="E272" t="str">
            <v>百色综合.png</v>
          </cell>
          <cell r="F272" t="str">
            <v>广西</v>
          </cell>
        </row>
        <row r="273">
          <cell r="C273" t="str">
            <v>北海经济科教</v>
          </cell>
          <cell r="D273" t="str">
            <v>北海经济科教</v>
          </cell>
          <cell r="E273" t="str">
            <v>北海经济科教.png</v>
          </cell>
          <cell r="F273" t="str">
            <v>广西</v>
          </cell>
        </row>
        <row r="274">
          <cell r="C274" t="str">
            <v>北海新闻综合</v>
          </cell>
          <cell r="D274" t="str">
            <v>北海新闻综合</v>
          </cell>
          <cell r="E274" t="str">
            <v>北海新闻综合.png</v>
          </cell>
          <cell r="F274" t="str">
            <v>广西</v>
          </cell>
        </row>
        <row r="275">
          <cell r="C275" t="str">
            <v>崇左综合</v>
          </cell>
          <cell r="D275" t="str">
            <v>崇左综合</v>
          </cell>
          <cell r="E275" t="str">
            <v>崇左综合.png</v>
          </cell>
          <cell r="F275" t="str">
            <v>广西</v>
          </cell>
        </row>
        <row r="276">
          <cell r="C276" t="str">
            <v>防城港公共</v>
          </cell>
          <cell r="D276" t="str">
            <v>防城港公共</v>
          </cell>
          <cell r="E276" t="str">
            <v>防城港公共.png</v>
          </cell>
          <cell r="F276" t="str">
            <v>广西</v>
          </cell>
        </row>
        <row r="277">
          <cell r="C277" t="str">
            <v>防城港新闻综合</v>
          </cell>
          <cell r="D277" t="str">
            <v>防城港新闻综合</v>
          </cell>
          <cell r="E277" t="str">
            <v>防城港新闻综合.png</v>
          </cell>
          <cell r="F277" t="str">
            <v>广西</v>
          </cell>
        </row>
        <row r="278">
          <cell r="C278" t="str">
            <v>桂林公共频道</v>
          </cell>
          <cell r="D278" t="str">
            <v>桂林公共频道</v>
          </cell>
          <cell r="E278" t="str">
            <v>桂林公共频道.png</v>
          </cell>
          <cell r="F278" t="str">
            <v>广西</v>
          </cell>
        </row>
        <row r="279">
          <cell r="C279" t="str">
            <v>桂林科教旅游</v>
          </cell>
          <cell r="D279" t="str">
            <v>桂林科教旅游</v>
          </cell>
          <cell r="E279" t="str">
            <v>桂林科教旅游.png</v>
          </cell>
          <cell r="F279" t="str">
            <v>广西</v>
          </cell>
        </row>
        <row r="280">
          <cell r="C280" t="str">
            <v>桂林新闻综合</v>
          </cell>
          <cell r="D280" t="str">
            <v>桂林新闻综合</v>
          </cell>
          <cell r="E280" t="str">
            <v>桂林新闻综合.png</v>
          </cell>
          <cell r="F280" t="str">
            <v>广西</v>
          </cell>
        </row>
        <row r="281">
          <cell r="C281" t="str">
            <v>河池新闻综合</v>
          </cell>
          <cell r="D281" t="str">
            <v>河池新闻综合</v>
          </cell>
          <cell r="E281" t="str">
            <v>河池新闻综合.png</v>
          </cell>
          <cell r="F281" t="str">
            <v>广西</v>
          </cell>
        </row>
        <row r="282">
          <cell r="C282" t="str">
            <v>贺州综合</v>
          </cell>
          <cell r="D282" t="str">
            <v>贺州综合</v>
          </cell>
          <cell r="E282" t="str">
            <v>贺州综合.png</v>
          </cell>
          <cell r="F282" t="str">
            <v>广西</v>
          </cell>
        </row>
        <row r="283">
          <cell r="C283" t="str">
            <v>来宾综合</v>
          </cell>
          <cell r="D283" t="str">
            <v>来宾综合</v>
          </cell>
          <cell r="E283" t="str">
            <v>来宾综合.png</v>
          </cell>
          <cell r="F283" t="str">
            <v>广西</v>
          </cell>
        </row>
        <row r="284">
          <cell r="C284" t="str">
            <v>柳州科教</v>
          </cell>
          <cell r="D284" t="str">
            <v>柳州科教</v>
          </cell>
          <cell r="E284" t="str">
            <v>柳州科教.png</v>
          </cell>
          <cell r="F284" t="str">
            <v>广西</v>
          </cell>
        </row>
        <row r="285">
          <cell r="C285" t="str">
            <v>柳州新闻综合</v>
          </cell>
          <cell r="D285" t="str">
            <v>柳州新闻综合</v>
          </cell>
          <cell r="E285" t="str">
            <v>柳州新闻综合.png</v>
          </cell>
          <cell r="F285" t="str">
            <v>广西</v>
          </cell>
        </row>
        <row r="286">
          <cell r="C286" t="str">
            <v>贵港新闻综合</v>
          </cell>
          <cell r="D286" t="str">
            <v>贵港新闻综合</v>
          </cell>
          <cell r="E286" t="str">
            <v>贵港新闻综合.png</v>
          </cell>
          <cell r="F286" t="str">
            <v>广西</v>
          </cell>
        </row>
        <row r="287">
          <cell r="C287" t="str">
            <v>贵港科教生活</v>
          </cell>
          <cell r="D287" t="str">
            <v>贵港科教生活</v>
          </cell>
          <cell r="E287" t="str">
            <v>贵港科教生活.png</v>
          </cell>
          <cell r="F287" t="str">
            <v>广西</v>
          </cell>
        </row>
        <row r="288">
          <cell r="C288" t="str">
            <v>钦州公共</v>
          </cell>
          <cell r="D288" t="str">
            <v>钦州公共</v>
          </cell>
          <cell r="E288" t="str">
            <v>钦州公共.png</v>
          </cell>
          <cell r="F288" t="str">
            <v>广西</v>
          </cell>
        </row>
        <row r="289">
          <cell r="C289" t="str">
            <v>钦州综合</v>
          </cell>
          <cell r="D289" t="str">
            <v>钦州综合</v>
          </cell>
          <cell r="E289" t="str">
            <v>钦州综合.png</v>
          </cell>
          <cell r="F289" t="str">
            <v>广西</v>
          </cell>
        </row>
        <row r="290">
          <cell r="C290" t="str">
            <v>梧州教育生活</v>
          </cell>
          <cell r="D290" t="str">
            <v>梧州教育生活</v>
          </cell>
          <cell r="E290" t="str">
            <v>梧州教育生活.png</v>
          </cell>
          <cell r="F290" t="str">
            <v>广西</v>
          </cell>
        </row>
        <row r="291">
          <cell r="C291" t="str">
            <v>梧州新闻综合</v>
          </cell>
          <cell r="D291" t="str">
            <v>梧州新闻综合</v>
          </cell>
          <cell r="E291" t="str">
            <v>梧州新闻综合.png</v>
          </cell>
          <cell r="F291" t="str">
            <v>广西</v>
          </cell>
        </row>
        <row r="292">
          <cell r="C292" t="str">
            <v>CCTV4美洲</v>
          </cell>
          <cell r="D292" t="str">
            <v>CCTV4美洲</v>
          </cell>
          <cell r="E292" t="str">
            <v>CCTV4美洲.png</v>
          </cell>
          <cell r="F292" t="str">
            <v>央视</v>
          </cell>
        </row>
        <row r="293">
          <cell r="C293" t="str">
            <v>CCTV4欧洲</v>
          </cell>
          <cell r="D293" t="str">
            <v>CCTV4欧洲</v>
          </cell>
          <cell r="E293" t="str">
            <v>CCTV4欧洲.png</v>
          </cell>
          <cell r="F293" t="str">
            <v>央视</v>
          </cell>
        </row>
        <row r="294">
          <cell r="C294" t="str">
            <v>CCTV兵器科技</v>
          </cell>
          <cell r="D294" t="str">
            <v>CCTV兵器科技</v>
          </cell>
          <cell r="E294" t="str">
            <v>CCTV兵器科技.png</v>
          </cell>
          <cell r="F294" t="str">
            <v>CCTV</v>
          </cell>
        </row>
        <row r="295">
          <cell r="C295" t="str">
            <v>CCTV第一剧场</v>
          </cell>
          <cell r="D295" t="str">
            <v>CCTV第一剧场</v>
          </cell>
          <cell r="E295" t="str">
            <v>CCTV第一剧场.png</v>
          </cell>
          <cell r="F295" t="str">
            <v>CCTV</v>
          </cell>
        </row>
        <row r="296">
          <cell r="C296" t="str">
            <v>CCTV电视指南</v>
          </cell>
          <cell r="D296" t="str">
            <v>CCTV电视指南</v>
          </cell>
          <cell r="E296" t="str">
            <v>CCTV电视指南.png</v>
          </cell>
          <cell r="F296" t="str">
            <v>CCTV</v>
          </cell>
        </row>
        <row r="297">
          <cell r="C297" t="str">
            <v>CCTV风云剧场</v>
          </cell>
          <cell r="D297" t="str">
            <v>CCTV风云剧场</v>
          </cell>
          <cell r="E297" t="str">
            <v>CCTV风云剧场.png</v>
          </cell>
          <cell r="F297" t="str">
            <v>CCTV</v>
          </cell>
        </row>
        <row r="298">
          <cell r="C298" t="str">
            <v>CCTV风云音乐</v>
          </cell>
          <cell r="D298" t="str">
            <v>CCTV风云音乐</v>
          </cell>
          <cell r="E298" t="str">
            <v>CCTV风云音乐.png</v>
          </cell>
          <cell r="F298" t="str">
            <v>CCTV</v>
          </cell>
        </row>
        <row r="299">
          <cell r="C299" t="str">
            <v>CCTV风云足球</v>
          </cell>
          <cell r="D299" t="str">
            <v>CCTV风云足球</v>
          </cell>
          <cell r="E299" t="str">
            <v>CCTV风云足球.png</v>
          </cell>
          <cell r="F299" t="str">
            <v>CCTV</v>
          </cell>
        </row>
        <row r="300">
          <cell r="C300" t="str">
            <v>CCTV怀旧剧场</v>
          </cell>
          <cell r="D300" t="str">
            <v>CCTV怀旧剧场</v>
          </cell>
          <cell r="E300" t="str">
            <v>CCTV怀旧剧场.png</v>
          </cell>
          <cell r="F300" t="str">
            <v>CCTV</v>
          </cell>
        </row>
        <row r="301">
          <cell r="C301" t="str">
            <v>CCTV女性时尚</v>
          </cell>
          <cell r="D301" t="str">
            <v>CCTV女性时尚</v>
          </cell>
          <cell r="E301" t="str">
            <v>CCTV女性时尚.png</v>
          </cell>
          <cell r="F301" t="str">
            <v>CCTV</v>
          </cell>
        </row>
        <row r="302">
          <cell r="C302" t="str">
            <v>CCTV世界地理</v>
          </cell>
          <cell r="D302" t="str">
            <v>CCTV世界地理</v>
          </cell>
          <cell r="E302" t="str">
            <v>CCTV世界地理.png</v>
          </cell>
          <cell r="F302" t="str">
            <v>CCTV</v>
          </cell>
        </row>
        <row r="303">
          <cell r="C303" t="str">
            <v>CCTV卫生健康</v>
          </cell>
          <cell r="D303" t="str">
            <v>CCTV卫生健康</v>
          </cell>
          <cell r="E303" t="str">
            <v>CCTV卫生健康.png</v>
          </cell>
          <cell r="F303" t="str">
            <v>CCTV</v>
          </cell>
        </row>
        <row r="304">
          <cell r="C304" t="str">
            <v>CCTV文化精品</v>
          </cell>
          <cell r="D304" t="str">
            <v>CCTV文化精品</v>
          </cell>
          <cell r="E304" t="str">
            <v>CCTV文化精品.png</v>
          </cell>
          <cell r="F304" t="str">
            <v>CCTV</v>
          </cell>
        </row>
        <row r="305">
          <cell r="C305" t="str">
            <v>CCTV央视台球</v>
          </cell>
          <cell r="D305" t="str">
            <v>CCTV央视台球</v>
          </cell>
          <cell r="E305" t="str">
            <v>CCTV央视台球.png</v>
          </cell>
          <cell r="F305" t="str">
            <v>CCTV</v>
          </cell>
        </row>
        <row r="306">
          <cell r="C306" t="str">
            <v>CETV学前</v>
          </cell>
          <cell r="D306" t="str">
            <v>CETV学前</v>
          </cell>
          <cell r="E306" t="str">
            <v>CETV学前.png</v>
          </cell>
          <cell r="F306" t="str">
            <v>卫视</v>
          </cell>
        </row>
        <row r="307">
          <cell r="C307" t="str">
            <v>安顺公共</v>
          </cell>
          <cell r="D307" t="str">
            <v>安顺公共</v>
          </cell>
          <cell r="E307" t="str">
            <v>安顺公共.png</v>
          </cell>
          <cell r="F307" t="str">
            <v>贵州</v>
          </cell>
        </row>
        <row r="308">
          <cell r="C308" t="str">
            <v>安顺新闻综合</v>
          </cell>
          <cell r="D308" t="str">
            <v>安顺新闻综合</v>
          </cell>
          <cell r="E308" t="str">
            <v>安顺新闻综合.png</v>
          </cell>
          <cell r="F308" t="str">
            <v>贵州</v>
          </cell>
        </row>
        <row r="309">
          <cell r="C309" t="str">
            <v>毕节1</v>
          </cell>
          <cell r="D309" t="str">
            <v>毕节1</v>
          </cell>
          <cell r="E309" t="str">
            <v>毕节1.png</v>
          </cell>
          <cell r="F309" t="str">
            <v>贵州</v>
          </cell>
        </row>
        <row r="310">
          <cell r="C310" t="str">
            <v>贵阳1</v>
          </cell>
          <cell r="D310" t="str">
            <v>贵阳1</v>
          </cell>
          <cell r="E310" t="str">
            <v>贵阳1.png</v>
          </cell>
          <cell r="F310" t="str">
            <v>贵州</v>
          </cell>
        </row>
        <row r="311">
          <cell r="C311" t="str">
            <v>贵阳2</v>
          </cell>
          <cell r="D311" t="str">
            <v>贵阳2</v>
          </cell>
          <cell r="E311" t="str">
            <v>贵阳2.png</v>
          </cell>
          <cell r="F311" t="str">
            <v>贵州</v>
          </cell>
        </row>
        <row r="312">
          <cell r="C312" t="str">
            <v>贵阳3</v>
          </cell>
          <cell r="D312" t="str">
            <v>贵阳3</v>
          </cell>
          <cell r="E312" t="str">
            <v>贵阳3.png</v>
          </cell>
          <cell r="F312" t="str">
            <v>贵州</v>
          </cell>
        </row>
        <row r="313">
          <cell r="C313" t="str">
            <v>贵州2</v>
          </cell>
          <cell r="D313" t="str">
            <v>贵州2</v>
          </cell>
          <cell r="E313" t="str">
            <v>贵州2.png</v>
          </cell>
          <cell r="F313" t="str">
            <v>贵州</v>
          </cell>
        </row>
        <row r="314">
          <cell r="C314" t="str">
            <v>贵州3</v>
          </cell>
          <cell r="D314" t="str">
            <v>贵州3</v>
          </cell>
          <cell r="E314" t="str">
            <v>贵州3.png</v>
          </cell>
          <cell r="F314" t="str">
            <v>贵州</v>
          </cell>
        </row>
        <row r="315">
          <cell r="C315" t="str">
            <v>贵州4</v>
          </cell>
          <cell r="D315" t="str">
            <v>贵州4</v>
          </cell>
          <cell r="E315" t="str">
            <v>贵州4.png</v>
          </cell>
          <cell r="F315" t="str">
            <v>贵州</v>
          </cell>
        </row>
        <row r="316">
          <cell r="C316" t="str">
            <v>贵州5</v>
          </cell>
          <cell r="D316" t="str">
            <v>贵州5</v>
          </cell>
          <cell r="E316" t="str">
            <v>贵州5.png</v>
          </cell>
          <cell r="F316" t="str">
            <v>贵州</v>
          </cell>
        </row>
        <row r="317">
          <cell r="C317" t="str">
            <v>贵州6</v>
          </cell>
          <cell r="D317" t="str">
            <v>贵州6</v>
          </cell>
          <cell r="E317" t="str">
            <v>贵州6.png</v>
          </cell>
          <cell r="F317" t="str">
            <v>贵州</v>
          </cell>
        </row>
        <row r="318">
          <cell r="C318" t="str">
            <v>贵州7</v>
          </cell>
          <cell r="D318" t="str">
            <v>贵州7</v>
          </cell>
          <cell r="E318" t="str">
            <v>贵州7.png</v>
          </cell>
          <cell r="F318" t="str">
            <v>贵州</v>
          </cell>
        </row>
        <row r="319">
          <cell r="C319" t="str">
            <v>贵州宣传</v>
          </cell>
          <cell r="D319" t="str">
            <v>贵州宣传</v>
          </cell>
          <cell r="E319" t="str">
            <v>贵州宣传.png</v>
          </cell>
          <cell r="F319" t="str">
            <v>贵州</v>
          </cell>
        </row>
        <row r="320">
          <cell r="C320" t="str">
            <v>凯里</v>
          </cell>
          <cell r="D320" t="str">
            <v>凯里</v>
          </cell>
          <cell r="E320" t="str">
            <v>凯里.png</v>
          </cell>
          <cell r="F320" t="str">
            <v>贵州</v>
          </cell>
        </row>
        <row r="321">
          <cell r="C321" t="str">
            <v>雷山综合</v>
          </cell>
          <cell r="D321" t="str">
            <v>雷山综合</v>
          </cell>
          <cell r="E321" t="str">
            <v>雷山综合.png</v>
          </cell>
          <cell r="F321" t="str">
            <v>贵州</v>
          </cell>
        </row>
        <row r="322">
          <cell r="C322" t="str">
            <v>六盘水1</v>
          </cell>
          <cell r="D322" t="str">
            <v>六盘水1</v>
          </cell>
          <cell r="E322" t="str">
            <v>六盘水1.png</v>
          </cell>
          <cell r="F322" t="str">
            <v>贵州</v>
          </cell>
        </row>
        <row r="323">
          <cell r="C323" t="str">
            <v>六盘水2</v>
          </cell>
          <cell r="D323" t="str">
            <v>六盘水2</v>
          </cell>
          <cell r="E323" t="str">
            <v>六盘水2.png</v>
          </cell>
          <cell r="F323" t="str">
            <v>贵州</v>
          </cell>
        </row>
        <row r="324">
          <cell r="C324" t="str">
            <v>黔东南综合</v>
          </cell>
          <cell r="D324" t="str">
            <v>黔东南综合</v>
          </cell>
          <cell r="E324" t="str">
            <v>黔东南综合.png</v>
          </cell>
          <cell r="F324" t="str">
            <v>贵州</v>
          </cell>
        </row>
        <row r="325">
          <cell r="C325" t="str">
            <v>黔南1</v>
          </cell>
          <cell r="D325" t="str">
            <v>黔南1</v>
          </cell>
          <cell r="E325" t="str">
            <v>黔南1.png</v>
          </cell>
          <cell r="F325" t="str">
            <v>贵州</v>
          </cell>
        </row>
        <row r="326">
          <cell r="C326" t="str">
            <v>黔南2</v>
          </cell>
          <cell r="D326" t="str">
            <v>黔南2</v>
          </cell>
          <cell r="E326" t="str">
            <v>黔南2.png</v>
          </cell>
          <cell r="F326" t="str">
            <v>贵州</v>
          </cell>
        </row>
        <row r="327">
          <cell r="C327" t="str">
            <v>黔西南公共</v>
          </cell>
          <cell r="D327" t="str">
            <v>黔西南公共</v>
          </cell>
          <cell r="E327" t="str">
            <v>黔西南公共.png</v>
          </cell>
          <cell r="F327" t="str">
            <v>贵州</v>
          </cell>
        </row>
        <row r="328">
          <cell r="C328" t="str">
            <v>黔西南综合</v>
          </cell>
          <cell r="D328" t="str">
            <v>黔西南综合</v>
          </cell>
          <cell r="E328" t="str">
            <v>黔西南综合.png</v>
          </cell>
          <cell r="F328" t="str">
            <v>贵州</v>
          </cell>
        </row>
        <row r="329">
          <cell r="C329" t="str">
            <v>思南综合</v>
          </cell>
          <cell r="D329" t="str">
            <v>思南综合</v>
          </cell>
          <cell r="E329" t="str">
            <v>思南综合.png</v>
          </cell>
          <cell r="F329" t="str">
            <v>贵州</v>
          </cell>
        </row>
        <row r="330">
          <cell r="C330" t="str">
            <v>天元围棋</v>
          </cell>
          <cell r="D330" t="str">
            <v>天元围棋</v>
          </cell>
          <cell r="E330" t="str">
            <v>天元围棋.png</v>
          </cell>
          <cell r="F330" t="str">
            <v>贵州</v>
          </cell>
        </row>
        <row r="331">
          <cell r="C331" t="str">
            <v>铜仁2</v>
          </cell>
          <cell r="D331" t="str">
            <v>铜仁2</v>
          </cell>
          <cell r="E331" t="str">
            <v>铜仁2.png</v>
          </cell>
          <cell r="F331" t="str">
            <v>贵州</v>
          </cell>
        </row>
        <row r="332">
          <cell r="C332" t="str">
            <v>铜仁1</v>
          </cell>
          <cell r="D332" t="str">
            <v>铜仁1</v>
          </cell>
          <cell r="E332" t="str">
            <v>铜仁1.png</v>
          </cell>
          <cell r="F332" t="str">
            <v>贵州</v>
          </cell>
        </row>
        <row r="333">
          <cell r="C333" t="str">
            <v>瓮安</v>
          </cell>
          <cell r="D333" t="str">
            <v>瓮安</v>
          </cell>
          <cell r="E333" t="str">
            <v>瓮安.png</v>
          </cell>
          <cell r="F333" t="str">
            <v>贵州</v>
          </cell>
        </row>
        <row r="334">
          <cell r="C334" t="str">
            <v>遵义都市</v>
          </cell>
          <cell r="D334" t="str">
            <v>遵义都市</v>
          </cell>
          <cell r="E334" t="str">
            <v>遵义都市.png</v>
          </cell>
          <cell r="F334" t="str">
            <v>贵州</v>
          </cell>
        </row>
        <row r="335">
          <cell r="C335" t="str">
            <v>遵义公共</v>
          </cell>
          <cell r="D335" t="str">
            <v>遵义公共</v>
          </cell>
          <cell r="E335" t="str">
            <v>遵义公共.png</v>
          </cell>
          <cell r="F335" t="str">
            <v>贵州</v>
          </cell>
        </row>
        <row r="336">
          <cell r="C336" t="str">
            <v>遵义综合</v>
          </cell>
          <cell r="D336" t="str">
            <v>遵义综合</v>
          </cell>
          <cell r="E336" t="str">
            <v>遵义综合.png</v>
          </cell>
          <cell r="F336" t="str">
            <v>贵州</v>
          </cell>
        </row>
        <row r="337">
          <cell r="C337" t="str">
            <v>中学生</v>
          </cell>
          <cell r="D337" t="str">
            <v>中学生</v>
          </cell>
          <cell r="E337" t="str">
            <v>中学生.png</v>
          </cell>
          <cell r="F337" t="str">
            <v>数字</v>
          </cell>
        </row>
        <row r="338">
          <cell r="C338" t="str">
            <v>老故事</v>
          </cell>
          <cell r="D338" t="str">
            <v>老故事</v>
          </cell>
          <cell r="E338" t="str">
            <v>老故事.png</v>
          </cell>
          <cell r="F338" t="str">
            <v>数字</v>
          </cell>
        </row>
        <row r="339">
          <cell r="C339" t="str">
            <v>书法世界</v>
          </cell>
          <cell r="D339" t="str">
            <v>书法世界</v>
          </cell>
          <cell r="E339" t="str">
            <v>书法世界.png</v>
          </cell>
          <cell r="F339" t="str">
            <v>数字</v>
          </cell>
        </row>
        <row r="340">
          <cell r="C340" t="str">
            <v>国学</v>
          </cell>
          <cell r="D340" t="str">
            <v>国学</v>
          </cell>
          <cell r="E340" t="str">
            <v>国学.png</v>
          </cell>
          <cell r="F340" t="str">
            <v>数字</v>
          </cell>
        </row>
        <row r="341">
          <cell r="C341" t="str">
            <v>农林卫视</v>
          </cell>
          <cell r="D341" t="str">
            <v>农林卫视</v>
          </cell>
          <cell r="E341" t="str">
            <v>农林卫视.png</v>
          </cell>
          <cell r="F341" t="str">
            <v>卫视</v>
          </cell>
        </row>
        <row r="342">
          <cell r="C342" t="str">
            <v>汽摩</v>
          </cell>
          <cell r="D342" t="str">
            <v>汽摩</v>
          </cell>
          <cell r="E342" t="str">
            <v>汽摩.png</v>
          </cell>
          <cell r="F342" t="str">
            <v>数字</v>
          </cell>
        </row>
        <row r="343">
          <cell r="C343" t="str">
            <v>贵州移动</v>
          </cell>
          <cell r="D343" t="str">
            <v>贵州移动</v>
          </cell>
          <cell r="E343" t="str">
            <v>贵州移动.png</v>
          </cell>
          <cell r="F343" t="str">
            <v>贵州</v>
          </cell>
        </row>
        <row r="344">
          <cell r="C344" t="str">
            <v>桐梓综合</v>
          </cell>
          <cell r="D344" t="str">
            <v>桐梓综合</v>
          </cell>
          <cell r="E344" t="str">
            <v>桐梓综合.png</v>
          </cell>
          <cell r="F344" t="str">
            <v>贵州</v>
          </cell>
        </row>
        <row r="345">
          <cell r="C345" t="str">
            <v>铁路电视</v>
          </cell>
          <cell r="D345" t="str">
            <v>铁路电视</v>
          </cell>
          <cell r="E345" t="str">
            <v>铁路电视.png</v>
          </cell>
          <cell r="F345" t="str">
            <v>贵州</v>
          </cell>
        </row>
        <row r="346">
          <cell r="C346" t="str">
            <v>聚鲨环球精选</v>
          </cell>
          <cell r="D346" t="str">
            <v>聚鲨环球精选</v>
          </cell>
          <cell r="E346" t="str">
            <v>聚鲨环球精选.png</v>
          </cell>
          <cell r="F346" t="str">
            <v>数字</v>
          </cell>
        </row>
        <row r="347">
          <cell r="C347" t="str">
            <v>发现之旅</v>
          </cell>
          <cell r="D347" t="str">
            <v>发现之旅</v>
          </cell>
          <cell r="E347" t="str">
            <v>发现之旅.png</v>
          </cell>
          <cell r="F347" t="str">
            <v>数字</v>
          </cell>
        </row>
        <row r="348">
          <cell r="C348" t="str">
            <v>中国交通</v>
          </cell>
          <cell r="D348" t="str">
            <v>中国交通</v>
          </cell>
          <cell r="E348" t="str">
            <v>中国交通.png</v>
          </cell>
          <cell r="F348" t="str">
            <v>数字</v>
          </cell>
        </row>
        <row r="349">
          <cell r="C349" t="str">
            <v>CCTV中视购物</v>
          </cell>
          <cell r="D349" t="str">
            <v>CCTV中视购物</v>
          </cell>
          <cell r="E349" t="str">
            <v>CCTV中视购物.png</v>
          </cell>
          <cell r="F349" t="str">
            <v>数字</v>
          </cell>
        </row>
        <row r="350">
          <cell r="C350" t="str">
            <v>BesTV导航</v>
          </cell>
          <cell r="D350" t="str">
            <v>BesTV导航</v>
          </cell>
          <cell r="E350" t="str">
            <v>BesTV导航.png</v>
          </cell>
          <cell r="F350" t="str">
            <v>4K超高清</v>
          </cell>
        </row>
        <row r="351">
          <cell r="C351" t="str">
            <v>CCTV央视文化精品</v>
          </cell>
          <cell r="D351" t="str">
            <v>CCTV央视文化精品</v>
          </cell>
          <cell r="E351" t="str">
            <v>CCTV央视文化精品.png</v>
          </cell>
          <cell r="F351" t="str">
            <v>4K超高清</v>
          </cell>
        </row>
        <row r="352">
          <cell r="C352" t="str">
            <v>CETV3</v>
          </cell>
          <cell r="D352" t="str">
            <v>CETV3</v>
          </cell>
          <cell r="E352" t="str">
            <v>CETV3.png</v>
          </cell>
          <cell r="F352" t="str">
            <v>4K超高清</v>
          </cell>
        </row>
        <row r="353">
          <cell r="C353" t="str">
            <v>CHC影迷电影</v>
          </cell>
          <cell r="D353" t="str">
            <v>CHC影迷电影</v>
          </cell>
          <cell r="E353" t="str">
            <v>CHC影迷电影.png</v>
          </cell>
          <cell r="F353" t="str">
            <v>数字</v>
          </cell>
        </row>
        <row r="354">
          <cell r="C354" t="str">
            <v>FM</v>
          </cell>
          <cell r="D354" t="str">
            <v>FM</v>
          </cell>
          <cell r="E354" t="str">
            <v>FM.png</v>
          </cell>
          <cell r="F354" t="str">
            <v>广播</v>
          </cell>
        </row>
        <row r="355">
          <cell r="C355" t="str">
            <v>爱体育</v>
          </cell>
          <cell r="D355" t="str">
            <v>爱体育</v>
          </cell>
          <cell r="E355" t="str">
            <v>爱体育.png</v>
          </cell>
          <cell r="F355" t="str">
            <v>iHOT</v>
          </cell>
        </row>
        <row r="356">
          <cell r="C356" t="str">
            <v>滨州民生</v>
          </cell>
          <cell r="D356" t="str">
            <v>滨州民生</v>
          </cell>
          <cell r="E356" t="str">
            <v>滨州民生.png</v>
          </cell>
          <cell r="F356" t="str">
            <v>山东</v>
          </cell>
        </row>
        <row r="357">
          <cell r="C357" t="str">
            <v>滨州新闻综合</v>
          </cell>
          <cell r="D357" t="str">
            <v>滨州新闻综合</v>
          </cell>
          <cell r="E357" t="str">
            <v>滨州新闻综合.png</v>
          </cell>
          <cell r="F357" t="str">
            <v>山东</v>
          </cell>
        </row>
        <row r="358">
          <cell r="C358" t="str">
            <v>博兴综合</v>
          </cell>
          <cell r="D358" t="str">
            <v>博兴综合</v>
          </cell>
          <cell r="E358" t="str">
            <v>博兴综合.png</v>
          </cell>
          <cell r="F358" t="str">
            <v>山东</v>
          </cell>
        </row>
        <row r="359">
          <cell r="C359" t="str">
            <v>茶</v>
          </cell>
          <cell r="D359" t="str">
            <v>茶</v>
          </cell>
          <cell r="E359" t="str">
            <v>茶.png</v>
          </cell>
          <cell r="F359" t="str">
            <v>湖南</v>
          </cell>
        </row>
        <row r="360">
          <cell r="C360" t="str">
            <v>茌平综合</v>
          </cell>
          <cell r="D360" t="str">
            <v>茌平综合</v>
          </cell>
          <cell r="E360" t="str">
            <v>茌平综合.png</v>
          </cell>
          <cell r="F360" t="str">
            <v>山东</v>
          </cell>
        </row>
        <row r="361">
          <cell r="C361" t="str">
            <v>岱岳</v>
          </cell>
          <cell r="D361" t="str">
            <v>岱岳</v>
          </cell>
          <cell r="E361" t="str">
            <v>岱岳.png</v>
          </cell>
          <cell r="F361" t="str">
            <v>山东</v>
          </cell>
        </row>
        <row r="362">
          <cell r="C362" t="str">
            <v>单县综合</v>
          </cell>
          <cell r="D362" t="str">
            <v>单县综合</v>
          </cell>
          <cell r="E362" t="str">
            <v>单县综合.png</v>
          </cell>
          <cell r="F362" t="str">
            <v>山东</v>
          </cell>
        </row>
        <row r="363">
          <cell r="C363" t="str">
            <v>德州经济生活</v>
          </cell>
          <cell r="D363" t="str">
            <v>德州经济生活</v>
          </cell>
          <cell r="E363" t="str">
            <v>德州经济生活.png</v>
          </cell>
          <cell r="F363" t="str">
            <v>山东</v>
          </cell>
        </row>
        <row r="364">
          <cell r="C364" t="str">
            <v>德州新闻综合</v>
          </cell>
          <cell r="D364" t="str">
            <v>德州新闻综合</v>
          </cell>
          <cell r="E364" t="str">
            <v>德州新闻综合.png</v>
          </cell>
          <cell r="F364" t="str">
            <v>山东</v>
          </cell>
        </row>
        <row r="365">
          <cell r="C365" t="str">
            <v>定陶新闻综合</v>
          </cell>
          <cell r="D365" t="str">
            <v>定陶新闻综合</v>
          </cell>
          <cell r="E365" t="str">
            <v>定陶新闻综合.png</v>
          </cell>
          <cell r="F365" t="str">
            <v>山东</v>
          </cell>
        </row>
        <row r="366">
          <cell r="C366" t="str">
            <v>东阿综合</v>
          </cell>
          <cell r="D366" t="str">
            <v>东阿综合</v>
          </cell>
          <cell r="E366" t="str">
            <v>东阿综合.png</v>
          </cell>
          <cell r="F366" t="str">
            <v>山东</v>
          </cell>
        </row>
        <row r="367">
          <cell r="C367" t="str">
            <v>东方购物</v>
          </cell>
          <cell r="D367" t="str">
            <v>东方购物</v>
          </cell>
          <cell r="E367" t="str">
            <v>东方购物.png</v>
          </cell>
          <cell r="F367" t="str">
            <v>上海</v>
          </cell>
        </row>
        <row r="368">
          <cell r="C368" t="str">
            <v>东方影视</v>
          </cell>
          <cell r="D368" t="str">
            <v>东方影视</v>
          </cell>
          <cell r="E368" t="str">
            <v>东方影视.png</v>
          </cell>
          <cell r="F368" t="str">
            <v>上海</v>
          </cell>
        </row>
        <row r="369">
          <cell r="C369" t="str">
            <v>东明新闻综合</v>
          </cell>
          <cell r="D369" t="str">
            <v>东明新闻综合</v>
          </cell>
          <cell r="E369" t="str">
            <v>东明新闻综合.png</v>
          </cell>
          <cell r="F369" t="str">
            <v>山东</v>
          </cell>
        </row>
        <row r="370">
          <cell r="C370" t="str">
            <v>东平综合</v>
          </cell>
          <cell r="D370" t="str">
            <v>东平综合</v>
          </cell>
          <cell r="E370" t="str">
            <v>东平综合.png</v>
          </cell>
          <cell r="F370" t="str">
            <v>山东</v>
          </cell>
        </row>
        <row r="371">
          <cell r="C371" t="str">
            <v>东营公共</v>
          </cell>
          <cell r="D371" t="str">
            <v>东营公共</v>
          </cell>
          <cell r="E371" t="str">
            <v>东营公共.png</v>
          </cell>
          <cell r="F371" t="str">
            <v>山东</v>
          </cell>
        </row>
        <row r="372">
          <cell r="C372" t="str">
            <v>东营新闻综合</v>
          </cell>
          <cell r="D372" t="str">
            <v>东营新闻综合</v>
          </cell>
          <cell r="E372" t="str">
            <v>东营新闻综合.png</v>
          </cell>
          <cell r="F372" t="str">
            <v>山东</v>
          </cell>
        </row>
        <row r="373">
          <cell r="C373" t="str">
            <v>都市频道</v>
          </cell>
          <cell r="D373" t="str">
            <v>都市频道</v>
          </cell>
          <cell r="E373" t="str">
            <v>都市频道.png</v>
          </cell>
          <cell r="F373" t="str">
            <v>山东</v>
          </cell>
        </row>
        <row r="374">
          <cell r="C374" t="str">
            <v>肥城综合</v>
          </cell>
          <cell r="D374" t="str">
            <v>肥城综合</v>
          </cell>
          <cell r="E374" t="str">
            <v>肥城综合.png</v>
          </cell>
          <cell r="F374" t="str">
            <v>山东</v>
          </cell>
        </row>
        <row r="375">
          <cell r="C375" t="str">
            <v>阜新教育</v>
          </cell>
          <cell r="D375" t="str">
            <v>阜新教育</v>
          </cell>
          <cell r="E375" t="str">
            <v>阜新教育.png</v>
          </cell>
          <cell r="F375" t="str">
            <v>辽宁</v>
          </cell>
        </row>
        <row r="376">
          <cell r="C376" t="str">
            <v>阜新综合</v>
          </cell>
          <cell r="D376" t="str">
            <v>阜新综合</v>
          </cell>
          <cell r="E376" t="str">
            <v>阜新综合.png</v>
          </cell>
          <cell r="F376" t="str">
            <v>辽宁</v>
          </cell>
        </row>
        <row r="377">
          <cell r="C377" t="str">
            <v>高青综合</v>
          </cell>
          <cell r="D377" t="str">
            <v>高青综合</v>
          </cell>
          <cell r="E377" t="str">
            <v>高青综合.png</v>
          </cell>
          <cell r="F377" t="str">
            <v>山东</v>
          </cell>
        </row>
        <row r="378">
          <cell r="C378" t="str">
            <v>冠县综合</v>
          </cell>
          <cell r="D378" t="str">
            <v>冠县综合</v>
          </cell>
          <cell r="E378" t="str">
            <v>冠县综合.png</v>
          </cell>
          <cell r="F378" t="str">
            <v>山东</v>
          </cell>
        </row>
        <row r="379">
          <cell r="C379" t="str">
            <v>广饶综合</v>
          </cell>
          <cell r="D379" t="str">
            <v>广饶综合</v>
          </cell>
          <cell r="E379" t="str">
            <v>广饶综合.png</v>
          </cell>
          <cell r="F379" t="str">
            <v>山东</v>
          </cell>
        </row>
        <row r="380">
          <cell r="C380" t="str">
            <v>国学频道</v>
          </cell>
          <cell r="D380" t="str">
            <v>国学频道</v>
          </cell>
          <cell r="E380" t="str">
            <v>国学频道.png</v>
          </cell>
          <cell r="F380" t="str">
            <v>数字</v>
          </cell>
        </row>
        <row r="381">
          <cell r="C381" t="str">
            <v>菏泽经济生活</v>
          </cell>
          <cell r="D381" t="str">
            <v>菏泽经济生活</v>
          </cell>
          <cell r="E381" t="str">
            <v>菏泽经济生活.png</v>
          </cell>
          <cell r="F381" t="str">
            <v>山东</v>
          </cell>
        </row>
        <row r="382">
          <cell r="C382" t="str">
            <v>菏泽新闻综合</v>
          </cell>
          <cell r="D382" t="str">
            <v>菏泽新闻综合</v>
          </cell>
          <cell r="E382" t="str">
            <v>菏泽新闻综合.png</v>
          </cell>
          <cell r="F382" t="str">
            <v>山东</v>
          </cell>
        </row>
        <row r="383">
          <cell r="C383" t="str">
            <v>华数精彩影视</v>
          </cell>
          <cell r="D383" t="str">
            <v>华数精彩影视</v>
          </cell>
          <cell r="E383" t="str">
            <v>华数精彩影视.png</v>
          </cell>
          <cell r="F383" t="str">
            <v>山东</v>
          </cell>
        </row>
        <row r="384">
          <cell r="C384" t="str">
            <v>桓台综合</v>
          </cell>
          <cell r="D384" t="str">
            <v>桓台综合</v>
          </cell>
          <cell r="E384" t="str">
            <v>桓台综合.png</v>
          </cell>
          <cell r="F384" t="str">
            <v>山东</v>
          </cell>
        </row>
        <row r="385">
          <cell r="C385" t="str">
            <v>惠民综合</v>
          </cell>
          <cell r="D385" t="str">
            <v>惠民综合</v>
          </cell>
          <cell r="E385" t="str">
            <v>惠民综合.png</v>
          </cell>
          <cell r="F385" t="str">
            <v>山东</v>
          </cell>
        </row>
        <row r="386">
          <cell r="C386" t="str">
            <v>济南都市</v>
          </cell>
          <cell r="D386" t="str">
            <v>济南都市</v>
          </cell>
          <cell r="E386" t="str">
            <v>济南都市.png</v>
          </cell>
          <cell r="F386" t="str">
            <v>山东</v>
          </cell>
        </row>
        <row r="387">
          <cell r="C387" t="str">
            <v>济南教育</v>
          </cell>
          <cell r="D387" t="str">
            <v>济南教育</v>
          </cell>
          <cell r="E387" t="str">
            <v>济南教育.png</v>
          </cell>
          <cell r="F387" t="str">
            <v>山东</v>
          </cell>
        </row>
        <row r="388">
          <cell r="C388" t="str">
            <v>济南鲁中</v>
          </cell>
          <cell r="D388" t="str">
            <v>济南鲁中</v>
          </cell>
          <cell r="E388" t="str">
            <v>济南鲁中.png</v>
          </cell>
          <cell r="F388" t="str">
            <v>山东</v>
          </cell>
        </row>
        <row r="389">
          <cell r="C389" t="str">
            <v>济南少儿</v>
          </cell>
          <cell r="D389" t="str">
            <v>济南少儿</v>
          </cell>
          <cell r="E389" t="str">
            <v>济南少儿.png</v>
          </cell>
          <cell r="F389" t="str">
            <v>山东</v>
          </cell>
        </row>
        <row r="390">
          <cell r="C390" t="str">
            <v>济南生活</v>
          </cell>
          <cell r="D390" t="str">
            <v>济南生活</v>
          </cell>
          <cell r="E390" t="str">
            <v>济南生活.png</v>
          </cell>
          <cell r="F390" t="str">
            <v>山东</v>
          </cell>
        </row>
        <row r="391">
          <cell r="C391" t="str">
            <v>济南文旅体育</v>
          </cell>
          <cell r="D391" t="str">
            <v>济南文旅体育</v>
          </cell>
          <cell r="E391" t="str">
            <v>济南文旅体育.png</v>
          </cell>
          <cell r="F391" t="str">
            <v>山东</v>
          </cell>
        </row>
        <row r="392">
          <cell r="C392" t="str">
            <v>济南新闻综合</v>
          </cell>
          <cell r="D392" t="str">
            <v>济南新闻综合</v>
          </cell>
          <cell r="E392" t="str">
            <v>济南新闻综合.png</v>
          </cell>
          <cell r="F392" t="str">
            <v>山东</v>
          </cell>
        </row>
        <row r="393">
          <cell r="C393" t="str">
            <v>济南娱乐</v>
          </cell>
          <cell r="D393" t="str">
            <v>济南娱乐</v>
          </cell>
          <cell r="E393" t="str">
            <v>济南娱乐.png</v>
          </cell>
          <cell r="F393" t="str">
            <v>山东</v>
          </cell>
        </row>
        <row r="394">
          <cell r="C394" t="str">
            <v>济宁高新</v>
          </cell>
          <cell r="D394" t="str">
            <v>济宁高新</v>
          </cell>
          <cell r="E394" t="str">
            <v>济宁高新.png</v>
          </cell>
          <cell r="F394" t="str">
            <v>山东</v>
          </cell>
        </row>
        <row r="395">
          <cell r="C395" t="str">
            <v>济宁公共</v>
          </cell>
          <cell r="D395" t="str">
            <v>济宁公共</v>
          </cell>
          <cell r="E395" t="str">
            <v>济宁公共.png</v>
          </cell>
          <cell r="F395" t="str">
            <v>山东</v>
          </cell>
        </row>
        <row r="396">
          <cell r="C396" t="str">
            <v>济宁生活</v>
          </cell>
          <cell r="D396" t="str">
            <v>济宁生活</v>
          </cell>
          <cell r="E396" t="str">
            <v>济宁生活.png</v>
          </cell>
          <cell r="F396" t="str">
            <v>山东</v>
          </cell>
        </row>
        <row r="397">
          <cell r="C397" t="str">
            <v>济宁综合</v>
          </cell>
          <cell r="D397" t="str">
            <v>济宁综合</v>
          </cell>
          <cell r="E397" t="str">
            <v>济宁综合.png</v>
          </cell>
          <cell r="F397" t="str">
            <v>山东</v>
          </cell>
        </row>
        <row r="398">
          <cell r="C398" t="str">
            <v>济阳综合</v>
          </cell>
          <cell r="D398" t="str">
            <v>济阳综合</v>
          </cell>
          <cell r="E398" t="str">
            <v>济阳综合.png</v>
          </cell>
          <cell r="F398" t="str">
            <v>山东</v>
          </cell>
        </row>
        <row r="399">
          <cell r="C399" t="str">
            <v>家庭理财</v>
          </cell>
          <cell r="D399" t="str">
            <v>家庭理财</v>
          </cell>
          <cell r="E399" t="str">
            <v>家庭理财.png</v>
          </cell>
          <cell r="F399" t="str">
            <v>江苏</v>
          </cell>
        </row>
        <row r="400">
          <cell r="C400" t="str">
            <v>嘉祥综合</v>
          </cell>
          <cell r="D400" t="str">
            <v>嘉祥综合</v>
          </cell>
          <cell r="E400" t="str">
            <v>嘉祥综合.png</v>
          </cell>
          <cell r="F400" t="str">
            <v>山东</v>
          </cell>
        </row>
        <row r="401">
          <cell r="C401" t="str">
            <v>劲爆体育</v>
          </cell>
          <cell r="D401" t="str">
            <v>劲爆体育</v>
          </cell>
          <cell r="E401" t="str">
            <v>劲爆体育.png</v>
          </cell>
          <cell r="F401" t="str">
            <v>上海</v>
          </cell>
        </row>
        <row r="402">
          <cell r="C402" t="str">
            <v>莒南综合</v>
          </cell>
          <cell r="D402" t="str">
            <v>莒南综合</v>
          </cell>
          <cell r="E402" t="str">
            <v>莒南综合.png</v>
          </cell>
          <cell r="F402" t="str">
            <v>山东</v>
          </cell>
        </row>
        <row r="403">
          <cell r="C403" t="str">
            <v>巨野新闻</v>
          </cell>
          <cell r="D403" t="str">
            <v>巨野新闻</v>
          </cell>
          <cell r="E403" t="str">
            <v>巨野新闻.png</v>
          </cell>
          <cell r="F403" t="str">
            <v>山东</v>
          </cell>
        </row>
        <row r="404">
          <cell r="C404" t="str">
            <v>鄄城综合</v>
          </cell>
          <cell r="D404" t="str">
            <v>鄄城综合</v>
          </cell>
          <cell r="E404" t="str">
            <v>鄄城综合.png</v>
          </cell>
          <cell r="F404" t="str">
            <v>山东</v>
          </cell>
        </row>
        <row r="405">
          <cell r="C405" t="str">
            <v>莱钢综合</v>
          </cell>
          <cell r="D405" t="str">
            <v>莱钢综合</v>
          </cell>
          <cell r="E405" t="str">
            <v>莱钢综合.png</v>
          </cell>
          <cell r="F405" t="str">
            <v>山东</v>
          </cell>
        </row>
        <row r="406">
          <cell r="C406" t="str">
            <v>兰陵综合</v>
          </cell>
          <cell r="D406" t="str">
            <v>兰陵综合</v>
          </cell>
          <cell r="E406" t="str">
            <v>兰陵综合.png</v>
          </cell>
          <cell r="F406" t="str">
            <v>山东</v>
          </cell>
        </row>
        <row r="407">
          <cell r="C407" t="str">
            <v>历城综合</v>
          </cell>
          <cell r="D407" t="str">
            <v>历城综合</v>
          </cell>
          <cell r="E407" t="str">
            <v>历城综合.png</v>
          </cell>
          <cell r="F407" t="str">
            <v>山东</v>
          </cell>
        </row>
        <row r="408">
          <cell r="C408" t="str">
            <v>梁山综合</v>
          </cell>
          <cell r="D408" t="str">
            <v>梁山综合</v>
          </cell>
          <cell r="E408" t="str">
            <v>梁山综合.png</v>
          </cell>
          <cell r="F408" t="str">
            <v>山东</v>
          </cell>
        </row>
        <row r="409">
          <cell r="C409" t="str">
            <v>辽宁北方</v>
          </cell>
          <cell r="D409" t="str">
            <v>辽宁北方</v>
          </cell>
          <cell r="E409" t="str">
            <v>辽宁北方.png</v>
          </cell>
          <cell r="F409" t="str">
            <v>辽宁</v>
          </cell>
        </row>
        <row r="410">
          <cell r="C410" t="str">
            <v>辽宁都市</v>
          </cell>
          <cell r="D410" t="str">
            <v>辽宁都市</v>
          </cell>
          <cell r="E410" t="str">
            <v>辽宁都市.png</v>
          </cell>
          <cell r="F410" t="str">
            <v>辽宁</v>
          </cell>
        </row>
        <row r="411">
          <cell r="C411" t="str">
            <v>辽宁公共</v>
          </cell>
          <cell r="D411" t="str">
            <v>辽宁公共</v>
          </cell>
          <cell r="E411" t="str">
            <v>辽宁公共.png</v>
          </cell>
          <cell r="F411" t="str">
            <v>辽宁</v>
          </cell>
        </row>
        <row r="412">
          <cell r="C412" t="str">
            <v>辽宁教育青少</v>
          </cell>
          <cell r="D412" t="str">
            <v>辽宁教育青少</v>
          </cell>
          <cell r="E412" t="str">
            <v>辽宁教育青少.png</v>
          </cell>
          <cell r="F412" t="str">
            <v>辽宁</v>
          </cell>
        </row>
        <row r="413">
          <cell r="C413" t="str">
            <v>辽宁经济</v>
          </cell>
          <cell r="D413" t="str">
            <v>辽宁经济</v>
          </cell>
          <cell r="E413" t="str">
            <v>辽宁经济.png</v>
          </cell>
          <cell r="F413" t="str">
            <v>辽宁</v>
          </cell>
        </row>
        <row r="414">
          <cell r="C414" t="str">
            <v>辽宁生活</v>
          </cell>
          <cell r="D414" t="str">
            <v>辽宁生活</v>
          </cell>
          <cell r="E414" t="str">
            <v>辽宁生活.png</v>
          </cell>
          <cell r="F414" t="str">
            <v>辽宁</v>
          </cell>
        </row>
        <row r="415">
          <cell r="C415" t="str">
            <v>辽宁体育休闲</v>
          </cell>
          <cell r="D415" t="str">
            <v>辽宁体育休闲</v>
          </cell>
          <cell r="E415" t="str">
            <v>辽宁体育休闲.png</v>
          </cell>
          <cell r="F415" t="str">
            <v>辽宁</v>
          </cell>
        </row>
        <row r="416">
          <cell r="C416" t="str">
            <v>辽宁宜家购物</v>
          </cell>
          <cell r="D416" t="str">
            <v>辽宁宜家购物</v>
          </cell>
          <cell r="E416" t="str">
            <v>辽宁宜家购物.png</v>
          </cell>
          <cell r="F416" t="str">
            <v>辽宁</v>
          </cell>
        </row>
        <row r="417">
          <cell r="C417" t="str">
            <v>辽宁移动电视</v>
          </cell>
          <cell r="D417" t="str">
            <v>辽宁移动电视</v>
          </cell>
          <cell r="E417" t="str">
            <v>辽宁移动电视.png</v>
          </cell>
          <cell r="F417" t="str">
            <v>辽宁</v>
          </cell>
        </row>
        <row r="418">
          <cell r="C418" t="str">
            <v>辽宁影视剧</v>
          </cell>
          <cell r="D418" t="str">
            <v>辽宁影视剧</v>
          </cell>
          <cell r="E418" t="str">
            <v>辽宁影视剧.png</v>
          </cell>
          <cell r="F418" t="str">
            <v>辽宁</v>
          </cell>
        </row>
        <row r="419">
          <cell r="C419" t="str">
            <v>聊城民生</v>
          </cell>
          <cell r="D419" t="str">
            <v>聊城民生</v>
          </cell>
          <cell r="E419" t="str">
            <v>聊城民生.png</v>
          </cell>
          <cell r="F419" t="str">
            <v>山东</v>
          </cell>
        </row>
        <row r="420">
          <cell r="C420" t="str">
            <v>聊城综合</v>
          </cell>
          <cell r="D420" t="str">
            <v>聊城综合</v>
          </cell>
          <cell r="E420" t="str">
            <v>聊城综合.png</v>
          </cell>
          <cell r="F420" t="str">
            <v>山东</v>
          </cell>
        </row>
        <row r="421">
          <cell r="C421" t="str">
            <v>临清综合</v>
          </cell>
          <cell r="D421" t="str">
            <v>临清综合</v>
          </cell>
          <cell r="E421" t="str">
            <v>临清综合.png</v>
          </cell>
          <cell r="F421" t="str">
            <v>山东</v>
          </cell>
        </row>
        <row r="422">
          <cell r="C422" t="str">
            <v>临沭综合</v>
          </cell>
          <cell r="D422" t="str">
            <v>临沭综合</v>
          </cell>
          <cell r="E422" t="str">
            <v>临沭综合.png</v>
          </cell>
          <cell r="F422" t="str">
            <v>山东</v>
          </cell>
        </row>
        <row r="423">
          <cell r="C423" t="str">
            <v>临沂公共</v>
          </cell>
          <cell r="D423" t="str">
            <v>临沂公共</v>
          </cell>
          <cell r="E423" t="str">
            <v>临沂公共.png</v>
          </cell>
          <cell r="F423" t="str">
            <v>山东</v>
          </cell>
        </row>
        <row r="424">
          <cell r="C424" t="str">
            <v>临沂经济</v>
          </cell>
          <cell r="D424" t="str">
            <v>临沂经济</v>
          </cell>
          <cell r="E424" t="str">
            <v>临沂经济.png</v>
          </cell>
          <cell r="F424" t="str">
            <v>山东</v>
          </cell>
        </row>
        <row r="425">
          <cell r="C425" t="str">
            <v>临沂综合</v>
          </cell>
          <cell r="D425" t="str">
            <v>临沂综合</v>
          </cell>
          <cell r="E425" t="str">
            <v>临沂综合.png</v>
          </cell>
          <cell r="F425" t="str">
            <v>山东</v>
          </cell>
        </row>
        <row r="426">
          <cell r="C426" t="str">
            <v>临邑一套</v>
          </cell>
          <cell r="D426" t="str">
            <v>临邑一套</v>
          </cell>
          <cell r="E426" t="str">
            <v>临邑一套.png</v>
          </cell>
          <cell r="F426" t="str">
            <v>山东</v>
          </cell>
        </row>
        <row r="427">
          <cell r="C427" t="str">
            <v>陵城综合</v>
          </cell>
          <cell r="D427" t="str">
            <v>陵城综合</v>
          </cell>
          <cell r="E427" t="str">
            <v>陵城综合.png</v>
          </cell>
          <cell r="F427" t="str">
            <v>山东</v>
          </cell>
        </row>
        <row r="428">
          <cell r="C428" t="str">
            <v>蒙阴综合</v>
          </cell>
          <cell r="D428" t="str">
            <v>蒙阴综合</v>
          </cell>
          <cell r="E428" t="str">
            <v>蒙阴综合.png</v>
          </cell>
          <cell r="F428" t="str">
            <v>山东</v>
          </cell>
        </row>
        <row r="429">
          <cell r="C429" t="str">
            <v>咪咕8K</v>
          </cell>
          <cell r="D429" t="str">
            <v>咪咕8K</v>
          </cell>
          <cell r="E429" t="str">
            <v>咪咕8K.png</v>
          </cell>
          <cell r="F429" t="str">
            <v>咪咕</v>
          </cell>
        </row>
        <row r="430">
          <cell r="C430" t="str">
            <v>咪咕视频</v>
          </cell>
          <cell r="D430" t="str">
            <v>咪咕视频</v>
          </cell>
          <cell r="E430" t="str">
            <v>咪咕视频.png</v>
          </cell>
          <cell r="F430" t="str">
            <v>咪咕</v>
          </cell>
        </row>
        <row r="431">
          <cell r="C431" t="str">
            <v>咪咕足球</v>
          </cell>
          <cell r="D431" t="str">
            <v>咪咕足球</v>
          </cell>
          <cell r="E431" t="str">
            <v>咪咕足球.png</v>
          </cell>
          <cell r="F431" t="str">
            <v>咪咕</v>
          </cell>
        </row>
        <row r="432">
          <cell r="C432" t="str">
            <v>宁津综合</v>
          </cell>
          <cell r="D432" t="str">
            <v>宁津综合</v>
          </cell>
          <cell r="E432" t="str">
            <v>宁津综合.png</v>
          </cell>
          <cell r="F432" t="str">
            <v>山东</v>
          </cell>
        </row>
        <row r="433">
          <cell r="C433" t="str">
            <v>宁阳二套</v>
          </cell>
          <cell r="D433" t="str">
            <v>宁阳二套</v>
          </cell>
          <cell r="E433" t="str">
            <v>宁阳二套.png</v>
          </cell>
          <cell r="F433" t="str">
            <v>山东</v>
          </cell>
        </row>
        <row r="434">
          <cell r="C434" t="str">
            <v>宁阳综合</v>
          </cell>
          <cell r="D434" t="str">
            <v>宁阳综合</v>
          </cell>
          <cell r="E434" t="str">
            <v>宁阳综合.png</v>
          </cell>
          <cell r="F434" t="str">
            <v>山东</v>
          </cell>
        </row>
        <row r="435">
          <cell r="C435" t="str">
            <v>盘锦都市</v>
          </cell>
          <cell r="D435" t="str">
            <v>盘锦都市</v>
          </cell>
          <cell r="E435" t="str">
            <v>盘锦都市.png</v>
          </cell>
          <cell r="F435" t="str">
            <v>贵州</v>
          </cell>
        </row>
        <row r="436">
          <cell r="C436" t="str">
            <v>盘锦新闻综合</v>
          </cell>
          <cell r="D436" t="str">
            <v>盘锦新闻综合</v>
          </cell>
          <cell r="E436" t="str">
            <v>盘锦新闻综合.png</v>
          </cell>
          <cell r="F436" t="str">
            <v>贵州</v>
          </cell>
        </row>
        <row r="437">
          <cell r="C437" t="str">
            <v>平阴综合</v>
          </cell>
          <cell r="D437" t="str">
            <v>平阴综合</v>
          </cell>
          <cell r="E437" t="str">
            <v>平阴综合.png</v>
          </cell>
          <cell r="F437" t="str">
            <v>山东</v>
          </cell>
        </row>
        <row r="438">
          <cell r="C438" t="str">
            <v>平原综合</v>
          </cell>
          <cell r="D438" t="str">
            <v>平原综合</v>
          </cell>
          <cell r="E438" t="str">
            <v>平原综合.png</v>
          </cell>
          <cell r="F438" t="str">
            <v>山东</v>
          </cell>
        </row>
        <row r="439">
          <cell r="C439" t="str">
            <v>齐河综合</v>
          </cell>
          <cell r="D439" t="str">
            <v>齐河综合</v>
          </cell>
          <cell r="E439" t="str">
            <v>齐河综合.png</v>
          </cell>
          <cell r="F439" t="str">
            <v>山东</v>
          </cell>
        </row>
        <row r="440">
          <cell r="C440" t="str">
            <v>求索纪录</v>
          </cell>
          <cell r="D440" t="str">
            <v>求索纪录</v>
          </cell>
          <cell r="E440" t="str">
            <v>求索纪录.png</v>
          </cell>
          <cell r="F440" t="str">
            <v>数字</v>
          </cell>
        </row>
        <row r="441">
          <cell r="C441" t="str">
            <v>曲阜综合</v>
          </cell>
          <cell r="D441" t="str">
            <v>曲阜综合</v>
          </cell>
          <cell r="E441" t="str">
            <v>曲阜综合.png</v>
          </cell>
          <cell r="F441" t="str">
            <v>山东</v>
          </cell>
        </row>
        <row r="442">
          <cell r="C442" t="str">
            <v>任城二套</v>
          </cell>
          <cell r="D442" t="str">
            <v>任城二套</v>
          </cell>
          <cell r="E442" t="str">
            <v>任城二套.png</v>
          </cell>
          <cell r="F442" t="str">
            <v>山东</v>
          </cell>
        </row>
        <row r="443">
          <cell r="C443" t="str">
            <v>任城一套</v>
          </cell>
          <cell r="D443" t="str">
            <v>任城一套</v>
          </cell>
          <cell r="E443" t="str">
            <v>任城一套.png</v>
          </cell>
          <cell r="F443" t="str">
            <v>山东</v>
          </cell>
        </row>
        <row r="444">
          <cell r="C444" t="str">
            <v>山东IPTV</v>
          </cell>
          <cell r="D444" t="str">
            <v>山东IPTV</v>
          </cell>
          <cell r="E444" t="str">
            <v>山东IPTV.png</v>
          </cell>
          <cell r="F444" t="str">
            <v>山东</v>
          </cell>
        </row>
        <row r="445">
          <cell r="C445" t="str">
            <v>山东IPTV影视推荐</v>
          </cell>
          <cell r="D445" t="str">
            <v>山东IPTV影视推荐</v>
          </cell>
          <cell r="E445" t="str">
            <v>山东IPTV影视推荐.png</v>
          </cell>
          <cell r="F445" t="str">
            <v>山东</v>
          </cell>
        </row>
        <row r="446">
          <cell r="C446" t="str">
            <v>山东IPTV智慧康养</v>
          </cell>
          <cell r="D446" t="str">
            <v>山东IPTV智慧康养</v>
          </cell>
          <cell r="E446" t="str">
            <v>山东IPTV智慧康养.png</v>
          </cell>
          <cell r="F446" t="str">
            <v>山东</v>
          </cell>
        </row>
        <row r="447">
          <cell r="C447" t="str">
            <v>山东交通广播</v>
          </cell>
          <cell r="D447" t="str">
            <v>山东交通广播</v>
          </cell>
          <cell r="E447" t="str">
            <v>山东交通广播.png</v>
          </cell>
          <cell r="F447" t="str">
            <v>山东</v>
          </cell>
        </row>
        <row r="448">
          <cell r="C448" t="str">
            <v>山东经济广播</v>
          </cell>
          <cell r="D448" t="str">
            <v>山东经济广播</v>
          </cell>
          <cell r="E448" t="str">
            <v>山东经济广播.png</v>
          </cell>
          <cell r="F448" t="str">
            <v>山东</v>
          </cell>
        </row>
        <row r="449">
          <cell r="C449" t="str">
            <v>山东居家购物</v>
          </cell>
          <cell r="D449" t="str">
            <v>山东居家购物</v>
          </cell>
          <cell r="E449" t="str">
            <v>山东居家购物.png</v>
          </cell>
          <cell r="F449" t="str">
            <v>山东</v>
          </cell>
        </row>
        <row r="450">
          <cell r="C450" t="str">
            <v>山东农科</v>
          </cell>
          <cell r="D450" t="str">
            <v>山东农科</v>
          </cell>
          <cell r="E450" t="str">
            <v>山东农科.png</v>
          </cell>
          <cell r="F450" t="str">
            <v>山东</v>
          </cell>
        </row>
        <row r="451">
          <cell r="C451" t="str">
            <v>山东齐鲁</v>
          </cell>
          <cell r="D451" t="str">
            <v>山东齐鲁</v>
          </cell>
          <cell r="E451" t="str">
            <v>山东齐鲁.png</v>
          </cell>
          <cell r="F451" t="str">
            <v>山东</v>
          </cell>
        </row>
        <row r="452">
          <cell r="C452" t="str">
            <v>山东少儿</v>
          </cell>
          <cell r="D452" t="str">
            <v>山东少儿</v>
          </cell>
          <cell r="E452" t="str">
            <v>山东少儿.png</v>
          </cell>
          <cell r="F452" t="str">
            <v>山东</v>
          </cell>
        </row>
        <row r="453">
          <cell r="C453" t="str">
            <v>山东生活</v>
          </cell>
          <cell r="D453" t="str">
            <v>山东生活</v>
          </cell>
          <cell r="E453" t="str">
            <v>山东生活.png</v>
          </cell>
          <cell r="F453" t="str">
            <v>山东</v>
          </cell>
        </row>
        <row r="454">
          <cell r="C454" t="str">
            <v>山东体育休闲</v>
          </cell>
          <cell r="D454" t="str">
            <v>山东体育休闲</v>
          </cell>
          <cell r="E454" t="str">
            <v>山东体育休闲.png</v>
          </cell>
          <cell r="F454" t="str">
            <v>山东</v>
          </cell>
        </row>
        <row r="455">
          <cell r="C455" t="str">
            <v>山东文旅</v>
          </cell>
          <cell r="D455" t="str">
            <v>山东文旅</v>
          </cell>
          <cell r="E455" t="str">
            <v>山东文旅.png</v>
          </cell>
          <cell r="F455" t="str">
            <v>山东</v>
          </cell>
        </row>
        <row r="456">
          <cell r="C456" t="str">
            <v>山东新闻</v>
          </cell>
          <cell r="D456" t="str">
            <v>山东新闻</v>
          </cell>
          <cell r="E456" t="str">
            <v>山东新闻.png</v>
          </cell>
          <cell r="F456" t="str">
            <v>山东</v>
          </cell>
        </row>
        <row r="457">
          <cell r="C457" t="str">
            <v>山东综合广播</v>
          </cell>
          <cell r="D457" t="str">
            <v>山东综合广播</v>
          </cell>
          <cell r="E457" t="str">
            <v>山东综合广播.png</v>
          </cell>
          <cell r="F457" t="str">
            <v>山东</v>
          </cell>
        </row>
        <row r="458">
          <cell r="C458" t="str">
            <v>山东综艺</v>
          </cell>
          <cell r="D458" t="str">
            <v>山东综艺</v>
          </cell>
          <cell r="E458" t="str">
            <v>山东综艺.png</v>
          </cell>
          <cell r="F458" t="str">
            <v>山东</v>
          </cell>
        </row>
        <row r="459">
          <cell r="C459" t="str">
            <v>商河综合</v>
          </cell>
          <cell r="D459" t="str">
            <v>商河综合</v>
          </cell>
          <cell r="E459" t="str">
            <v>商河综合.png</v>
          </cell>
          <cell r="F459" t="str">
            <v>山东</v>
          </cell>
        </row>
        <row r="460">
          <cell r="C460" t="str">
            <v>上海都市</v>
          </cell>
          <cell r="D460" t="str">
            <v>上海都市</v>
          </cell>
          <cell r="E460" t="str">
            <v>上海都市.png</v>
          </cell>
          <cell r="F460" t="str">
            <v>上海</v>
          </cell>
        </row>
        <row r="461">
          <cell r="C461" t="str">
            <v>上海纪实人文</v>
          </cell>
          <cell r="D461" t="str">
            <v>上海纪实人文</v>
          </cell>
          <cell r="E461" t="str">
            <v>上海纪实人文.png</v>
          </cell>
          <cell r="F461" t="str">
            <v>上海</v>
          </cell>
        </row>
        <row r="462">
          <cell r="C462" t="str">
            <v>上海教育</v>
          </cell>
          <cell r="D462" t="str">
            <v>上海教育</v>
          </cell>
          <cell r="E462" t="str">
            <v>上海教育.png</v>
          </cell>
          <cell r="F462" t="str">
            <v>上海</v>
          </cell>
        </row>
        <row r="463">
          <cell r="C463" t="str">
            <v>上海新闻综合</v>
          </cell>
          <cell r="D463" t="str">
            <v>上海新闻综合</v>
          </cell>
          <cell r="E463" t="str">
            <v>上海新闻综合.png</v>
          </cell>
          <cell r="F463" t="str">
            <v>上海</v>
          </cell>
        </row>
        <row r="464">
          <cell r="C464" t="str">
            <v>莘县综合</v>
          </cell>
          <cell r="D464" t="str">
            <v>莘县综合</v>
          </cell>
          <cell r="E464" t="str">
            <v>莘县综合.png</v>
          </cell>
          <cell r="F464" t="str">
            <v>山东</v>
          </cell>
        </row>
        <row r="465">
          <cell r="C465" t="str">
            <v>沈阳新闻综合</v>
          </cell>
          <cell r="D465" t="str">
            <v>沈阳新闻综合</v>
          </cell>
          <cell r="E465" t="str">
            <v>沈阳新闻综合.png</v>
          </cell>
          <cell r="F465" t="str">
            <v>辽宁</v>
          </cell>
        </row>
        <row r="466">
          <cell r="C466" t="str">
            <v>寿光综合</v>
          </cell>
          <cell r="D466" t="str">
            <v>寿光综合</v>
          </cell>
          <cell r="E466" t="str">
            <v>寿光综合.png</v>
          </cell>
          <cell r="F466" t="str">
            <v>山东</v>
          </cell>
        </row>
        <row r="467">
          <cell r="C467" t="str">
            <v>书画</v>
          </cell>
          <cell r="D467" t="str">
            <v>书画</v>
          </cell>
          <cell r="E467" t="str">
            <v>书画.png</v>
          </cell>
          <cell r="F467" t="str">
            <v>数字</v>
          </cell>
        </row>
        <row r="468">
          <cell r="C468" t="str">
            <v>书画频道</v>
          </cell>
          <cell r="D468" t="str">
            <v>书画频道</v>
          </cell>
          <cell r="E468" t="str">
            <v>书画频道.png</v>
          </cell>
          <cell r="F468" t="str">
            <v>数字</v>
          </cell>
        </row>
        <row r="469">
          <cell r="C469" t="str">
            <v>四海钓鱼</v>
          </cell>
          <cell r="D469" t="str">
            <v>四海钓鱼</v>
          </cell>
          <cell r="E469" t="str">
            <v>四海钓鱼.png</v>
          </cell>
          <cell r="F469" t="str">
            <v>数字</v>
          </cell>
        </row>
        <row r="470">
          <cell r="C470" t="str">
            <v>泗水综合</v>
          </cell>
          <cell r="D470" t="str">
            <v>泗水综合</v>
          </cell>
          <cell r="E470" t="str">
            <v>泗水综合.png</v>
          </cell>
          <cell r="F470" t="str">
            <v>山东</v>
          </cell>
        </row>
        <row r="471">
          <cell r="C471" t="str">
            <v>泰安经济生活</v>
          </cell>
          <cell r="D471" t="str">
            <v>泰安经济生活</v>
          </cell>
          <cell r="E471" t="str">
            <v>泰安经济生活.png</v>
          </cell>
          <cell r="F471" t="str">
            <v>山东</v>
          </cell>
        </row>
        <row r="472">
          <cell r="C472" t="str">
            <v>泰安综合</v>
          </cell>
          <cell r="D472" t="str">
            <v>泰安综合</v>
          </cell>
          <cell r="E472" t="str">
            <v>泰安综合.png</v>
          </cell>
          <cell r="F472" t="str">
            <v>山东</v>
          </cell>
        </row>
        <row r="473">
          <cell r="C473" t="str">
            <v>泰山</v>
          </cell>
          <cell r="D473" t="str">
            <v>泰山</v>
          </cell>
          <cell r="E473" t="str">
            <v>泰山.png</v>
          </cell>
          <cell r="F473" t="str">
            <v>山东</v>
          </cell>
        </row>
        <row r="474">
          <cell r="C474" t="str">
            <v>滕州综合</v>
          </cell>
          <cell r="D474" t="str">
            <v>滕州综合</v>
          </cell>
          <cell r="E474" t="str">
            <v>滕州综合.png</v>
          </cell>
          <cell r="F474" t="str">
            <v>山东</v>
          </cell>
        </row>
        <row r="475">
          <cell r="C475" t="str">
            <v>微山综合</v>
          </cell>
          <cell r="D475" t="str">
            <v>微山综合</v>
          </cell>
          <cell r="E475" t="str">
            <v>微山综合.png</v>
          </cell>
          <cell r="F475" t="str">
            <v>山东</v>
          </cell>
        </row>
        <row r="476">
          <cell r="C476" t="str">
            <v>汶上综合</v>
          </cell>
          <cell r="D476" t="str">
            <v>汶上综合</v>
          </cell>
          <cell r="E476" t="str">
            <v>汶上综合.png</v>
          </cell>
          <cell r="F476" t="str">
            <v>山东</v>
          </cell>
        </row>
        <row r="477">
          <cell r="C477" t="str">
            <v>无棣综合</v>
          </cell>
          <cell r="D477" t="str">
            <v>无棣综合</v>
          </cell>
          <cell r="E477" t="str">
            <v>无棣综合.png</v>
          </cell>
          <cell r="F477" t="str">
            <v>山东</v>
          </cell>
        </row>
        <row r="478">
          <cell r="C478" t="str">
            <v>五星体育</v>
          </cell>
          <cell r="D478" t="str">
            <v>五星体育</v>
          </cell>
          <cell r="E478" t="str">
            <v>五星体育.png</v>
          </cell>
          <cell r="F478" t="str">
            <v>上海</v>
          </cell>
        </row>
        <row r="479">
          <cell r="C479" t="str">
            <v>武城综合</v>
          </cell>
          <cell r="D479" t="str">
            <v>武城综合</v>
          </cell>
          <cell r="E479" t="str">
            <v>武城综合.png</v>
          </cell>
          <cell r="F479" t="str">
            <v>山东</v>
          </cell>
        </row>
        <row r="480">
          <cell r="C480" t="str">
            <v>夏津公共</v>
          </cell>
          <cell r="D480" t="str">
            <v>夏津公共</v>
          </cell>
          <cell r="E480" t="str">
            <v>夏津公共.png</v>
          </cell>
          <cell r="F480" t="str">
            <v>山东</v>
          </cell>
        </row>
        <row r="481">
          <cell r="C481" t="str">
            <v>夏津综合</v>
          </cell>
          <cell r="D481" t="str">
            <v>夏津综合</v>
          </cell>
          <cell r="E481" t="str">
            <v>夏津综合.png</v>
          </cell>
          <cell r="F481" t="str">
            <v>山东</v>
          </cell>
        </row>
        <row r="482">
          <cell r="C482" t="str">
            <v>新泰乡村</v>
          </cell>
          <cell r="D482" t="str">
            <v>新泰乡村</v>
          </cell>
          <cell r="E482" t="str">
            <v>新泰乡村.png</v>
          </cell>
          <cell r="F482" t="str">
            <v>山东</v>
          </cell>
        </row>
        <row r="483">
          <cell r="C483" t="str">
            <v>新泰综合</v>
          </cell>
          <cell r="D483" t="str">
            <v>新泰综合</v>
          </cell>
          <cell r="E483" t="str">
            <v>新泰综合.png</v>
          </cell>
          <cell r="F483" t="str">
            <v>山东</v>
          </cell>
        </row>
        <row r="484">
          <cell r="C484" t="str">
            <v>兖州综合</v>
          </cell>
          <cell r="D484" t="str">
            <v>兖州综合</v>
          </cell>
          <cell r="E484" t="str">
            <v>兖州综合.png</v>
          </cell>
          <cell r="F484" t="str">
            <v>山东</v>
          </cell>
        </row>
        <row r="485">
          <cell r="C485" t="str">
            <v>阳信新闻综合</v>
          </cell>
          <cell r="D485" t="str">
            <v>阳信新闻综合</v>
          </cell>
          <cell r="E485" t="str">
            <v>阳信新闻综合.png</v>
          </cell>
          <cell r="F485" t="str">
            <v>山东</v>
          </cell>
        </row>
        <row r="486">
          <cell r="C486" t="str">
            <v>沂南红色影视</v>
          </cell>
          <cell r="D486" t="str">
            <v>沂南红色影视</v>
          </cell>
          <cell r="E486" t="str">
            <v>沂南红色影视.png</v>
          </cell>
          <cell r="F486" t="str">
            <v>山东</v>
          </cell>
        </row>
        <row r="487">
          <cell r="C487" t="str">
            <v>沂南综合</v>
          </cell>
          <cell r="D487" t="str">
            <v>沂南综合</v>
          </cell>
          <cell r="E487" t="str">
            <v>沂南综合.png</v>
          </cell>
          <cell r="F487" t="str">
            <v>山东</v>
          </cell>
        </row>
        <row r="488">
          <cell r="C488" t="str">
            <v>沂水综合</v>
          </cell>
          <cell r="D488" t="str">
            <v>沂水综合</v>
          </cell>
          <cell r="E488" t="str">
            <v>沂水综合.png</v>
          </cell>
          <cell r="F488" t="str">
            <v>山东</v>
          </cell>
        </row>
        <row r="489">
          <cell r="C489" t="str">
            <v>沂源综合</v>
          </cell>
          <cell r="D489" t="str">
            <v>沂源综合</v>
          </cell>
          <cell r="E489" t="str">
            <v>沂源综合.png</v>
          </cell>
          <cell r="F489" t="str">
            <v>山东</v>
          </cell>
        </row>
        <row r="490">
          <cell r="C490" t="str">
            <v>鱼台综合</v>
          </cell>
          <cell r="D490" t="str">
            <v>鱼台综合</v>
          </cell>
          <cell r="E490" t="str">
            <v>鱼台综合.png</v>
          </cell>
          <cell r="F490" t="str">
            <v>山东</v>
          </cell>
        </row>
        <row r="491">
          <cell r="C491" t="str">
            <v>禹城综合</v>
          </cell>
          <cell r="D491" t="str">
            <v>禹城综合</v>
          </cell>
          <cell r="E491" t="str">
            <v>禹城综合.png</v>
          </cell>
          <cell r="F491" t="str">
            <v>山东</v>
          </cell>
        </row>
        <row r="492">
          <cell r="C492" t="str">
            <v>禹城综艺</v>
          </cell>
          <cell r="D492" t="str">
            <v>禹城综艺</v>
          </cell>
          <cell r="E492" t="str">
            <v>禹城综艺.png</v>
          </cell>
          <cell r="F492" t="str">
            <v>山东</v>
          </cell>
        </row>
        <row r="493">
          <cell r="C493" t="str">
            <v>郓城新闻</v>
          </cell>
          <cell r="D493" t="str">
            <v>郓城新闻</v>
          </cell>
          <cell r="E493" t="str">
            <v>郓城新闻.png</v>
          </cell>
          <cell r="F493" t="str">
            <v>山东</v>
          </cell>
        </row>
        <row r="494">
          <cell r="C494" t="str">
            <v>枣庄经济生活</v>
          </cell>
          <cell r="D494" t="str">
            <v>枣庄经济生活</v>
          </cell>
          <cell r="E494" t="str">
            <v>枣庄经济生活.png</v>
          </cell>
          <cell r="F494" t="str">
            <v>山东</v>
          </cell>
        </row>
        <row r="495">
          <cell r="C495" t="str">
            <v>枣庄新闻综合</v>
          </cell>
          <cell r="D495" t="str">
            <v>枣庄新闻综合</v>
          </cell>
          <cell r="E495" t="str">
            <v>枣庄新闻综合.png</v>
          </cell>
          <cell r="F495" t="str">
            <v>山东</v>
          </cell>
        </row>
        <row r="496">
          <cell r="C496" t="str">
            <v>沾化综合</v>
          </cell>
          <cell r="D496" t="str">
            <v>沾化综合</v>
          </cell>
          <cell r="E496" t="str">
            <v>沾化综合.png</v>
          </cell>
          <cell r="F496" t="str">
            <v>山东</v>
          </cell>
        </row>
        <row r="497">
          <cell r="C497" t="str">
            <v>章丘综合</v>
          </cell>
          <cell r="D497" t="str">
            <v>章丘综合</v>
          </cell>
          <cell r="E497" t="str">
            <v>章丘综合.png</v>
          </cell>
          <cell r="F497" t="str">
            <v>山东</v>
          </cell>
        </row>
        <row r="498">
          <cell r="C498" t="str">
            <v>长清综合</v>
          </cell>
          <cell r="D498" t="str">
            <v>长清综合</v>
          </cell>
          <cell r="E498" t="str">
            <v>长清综合.png</v>
          </cell>
          <cell r="F498" t="str">
            <v>山东</v>
          </cell>
        </row>
        <row r="499">
          <cell r="C499" t="str">
            <v>中央新影老故事</v>
          </cell>
          <cell r="D499" t="str">
            <v>中央新影老故事</v>
          </cell>
          <cell r="E499" t="str">
            <v>中央新影老故事.png</v>
          </cell>
          <cell r="F499" t="str">
            <v>数字</v>
          </cell>
        </row>
        <row r="500">
          <cell r="C500" t="str">
            <v>周村新闻</v>
          </cell>
          <cell r="D500" t="str">
            <v>周村新闻</v>
          </cell>
          <cell r="E500" t="str">
            <v>周村新闻.png</v>
          </cell>
          <cell r="F500" t="str">
            <v>山东</v>
          </cell>
        </row>
        <row r="501">
          <cell r="C501" t="str">
            <v>淄博民生</v>
          </cell>
          <cell r="D501" t="str">
            <v>淄博民生</v>
          </cell>
          <cell r="E501" t="str">
            <v>淄博民生.png</v>
          </cell>
          <cell r="F501" t="str">
            <v>山东</v>
          </cell>
        </row>
        <row r="502">
          <cell r="C502" t="str">
            <v>淄博文旅</v>
          </cell>
          <cell r="D502" t="str">
            <v>淄博文旅</v>
          </cell>
          <cell r="E502" t="str">
            <v>淄博文旅.png</v>
          </cell>
          <cell r="F502" t="str">
            <v>山东</v>
          </cell>
        </row>
        <row r="503">
          <cell r="C503" t="str">
            <v>淄博新闻综合</v>
          </cell>
          <cell r="D503" t="str">
            <v>淄博新闻综合</v>
          </cell>
          <cell r="E503" t="str">
            <v>淄博新闻综合.png</v>
          </cell>
          <cell r="F503" t="str">
            <v>山东</v>
          </cell>
        </row>
        <row r="504">
          <cell r="C504" t="str">
            <v>淄博影视</v>
          </cell>
          <cell r="D504" t="str">
            <v>淄博影视</v>
          </cell>
          <cell r="E504" t="str">
            <v>淄博影视.png</v>
          </cell>
          <cell r="F504" t="str">
            <v>山东</v>
          </cell>
        </row>
        <row r="505">
          <cell r="C505" t="str">
            <v>邹城综合</v>
          </cell>
          <cell r="D505" t="str">
            <v>邹城综合</v>
          </cell>
          <cell r="E505" t="str">
            <v>邹城综合.png</v>
          </cell>
          <cell r="F505" t="str">
            <v>山东</v>
          </cell>
        </row>
        <row r="506">
          <cell r="C506" t="str">
            <v>邹平综合</v>
          </cell>
          <cell r="D506" t="str">
            <v>邹平综合</v>
          </cell>
          <cell r="E506" t="str">
            <v>邹平综合.png</v>
          </cell>
          <cell r="F506" t="str">
            <v>山东</v>
          </cell>
        </row>
        <row r="507">
          <cell r="C507" t="str">
            <v>杭州综合</v>
          </cell>
          <cell r="D507" t="str">
            <v>杭州综合</v>
          </cell>
          <cell r="E507" t="str">
            <v>杭州综合.png</v>
          </cell>
          <cell r="F507" t="str">
            <v>浙江</v>
          </cell>
        </row>
        <row r="508">
          <cell r="C508" t="str">
            <v>杭州西湖明珠</v>
          </cell>
          <cell r="D508" t="str">
            <v>杭州西湖明珠</v>
          </cell>
          <cell r="E508" t="str">
            <v>杭州西湖明珠.png</v>
          </cell>
          <cell r="F508" t="str">
            <v>浙江</v>
          </cell>
        </row>
        <row r="509">
          <cell r="C509" t="str">
            <v>杭州生活</v>
          </cell>
          <cell r="D509" t="str">
            <v>杭州生活</v>
          </cell>
          <cell r="E509" t="str">
            <v>杭州生活.png</v>
          </cell>
          <cell r="F509" t="str">
            <v>浙江</v>
          </cell>
        </row>
        <row r="510">
          <cell r="C510" t="str">
            <v>杭州影视</v>
          </cell>
          <cell r="D510" t="str">
            <v>杭州影视</v>
          </cell>
          <cell r="E510" t="str">
            <v>杭州影视.png</v>
          </cell>
          <cell r="F510" t="str">
            <v>浙江</v>
          </cell>
        </row>
        <row r="511">
          <cell r="C511" t="str">
            <v>杭州少儿体育</v>
          </cell>
          <cell r="D511" t="str">
            <v>杭州少儿体育</v>
          </cell>
          <cell r="E511" t="str">
            <v>杭州少儿体育.png</v>
          </cell>
          <cell r="F511" t="str">
            <v>浙江</v>
          </cell>
        </row>
        <row r="512">
          <cell r="C512" t="str">
            <v>浙江新闻</v>
          </cell>
          <cell r="D512" t="str">
            <v>浙江新闻</v>
          </cell>
          <cell r="E512" t="str">
            <v>浙江新闻.png</v>
          </cell>
          <cell r="F512" t="str">
            <v>浙江</v>
          </cell>
        </row>
        <row r="513">
          <cell r="C513" t="str">
            <v>浙江国际</v>
          </cell>
          <cell r="D513" t="str">
            <v>浙江国际</v>
          </cell>
          <cell r="E513" t="str">
            <v>浙江国际.png</v>
          </cell>
          <cell r="F513" t="str">
            <v>浙江</v>
          </cell>
        </row>
        <row r="514">
          <cell r="C514" t="str">
            <v>浙江教科</v>
          </cell>
          <cell r="D514" t="str">
            <v>浙江教科</v>
          </cell>
          <cell r="E514" t="str">
            <v>浙江教科.png</v>
          </cell>
          <cell r="F514" t="str">
            <v>浙江</v>
          </cell>
        </row>
        <row r="515">
          <cell r="C515" t="str">
            <v>浙江民生</v>
          </cell>
          <cell r="D515" t="str">
            <v>浙江民生</v>
          </cell>
          <cell r="E515" t="str">
            <v>浙江民生.png</v>
          </cell>
          <cell r="F515" t="str">
            <v>浙江</v>
          </cell>
        </row>
        <row r="516">
          <cell r="C516" t="str">
            <v>浙江经济</v>
          </cell>
          <cell r="D516" t="str">
            <v>浙江经济</v>
          </cell>
          <cell r="E516" t="str">
            <v>浙江经济.png</v>
          </cell>
          <cell r="F516" t="str">
            <v>浙江</v>
          </cell>
        </row>
        <row r="517">
          <cell r="C517" t="str">
            <v>浙江钱江</v>
          </cell>
          <cell r="D517" t="str">
            <v>浙江钱江</v>
          </cell>
          <cell r="E517" t="str">
            <v>浙江钱江.png</v>
          </cell>
          <cell r="F517" t="str">
            <v>浙江</v>
          </cell>
        </row>
        <row r="518">
          <cell r="C518" t="str">
            <v>之江纪录</v>
          </cell>
          <cell r="D518" t="str">
            <v>之江纪录</v>
          </cell>
          <cell r="E518" t="str">
            <v>之江纪录.png</v>
          </cell>
          <cell r="F518" t="str">
            <v>浙江</v>
          </cell>
        </row>
        <row r="519">
          <cell r="C519" t="str">
            <v>爱赛车</v>
          </cell>
          <cell r="D519" t="str">
            <v>爱赛车</v>
          </cell>
          <cell r="E519" t="str">
            <v>爱赛车.png</v>
          </cell>
          <cell r="F519" t="str">
            <v>iHOT</v>
          </cell>
        </row>
        <row r="520">
          <cell r="C520" t="str">
            <v>爱旅行</v>
          </cell>
          <cell r="D520" t="str">
            <v>爱旅行</v>
          </cell>
          <cell r="E520" t="str">
            <v>爱旅行.png</v>
          </cell>
          <cell r="F520" t="str">
            <v>iHOT</v>
          </cell>
        </row>
        <row r="521">
          <cell r="C521" t="str">
            <v>爱历史</v>
          </cell>
          <cell r="D521" t="str">
            <v>爱历史</v>
          </cell>
          <cell r="E521" t="str">
            <v>爱历史.png</v>
          </cell>
          <cell r="F521" t="str">
            <v>iHOT</v>
          </cell>
        </row>
        <row r="522">
          <cell r="C522" t="str">
            <v>爱谍战</v>
          </cell>
          <cell r="D522" t="str">
            <v>爱谍战</v>
          </cell>
          <cell r="E522" t="str">
            <v>爱谍战.png</v>
          </cell>
          <cell r="F522" t="str">
            <v>iHOT</v>
          </cell>
        </row>
        <row r="523">
          <cell r="C523" t="str">
            <v>重温经典</v>
          </cell>
          <cell r="D523" t="str">
            <v>重温经典</v>
          </cell>
          <cell r="E523" t="str">
            <v>重温经典.png</v>
          </cell>
          <cell r="F523" t="str">
            <v>数字</v>
          </cell>
        </row>
        <row r="524">
          <cell r="C524" t="str">
            <v>Y+</v>
          </cell>
          <cell r="D524" t="str">
            <v>Y+</v>
          </cell>
          <cell r="E524" t="str">
            <v>Y+.png</v>
          </cell>
          <cell r="F524" t="str">
            <v>数字</v>
          </cell>
        </row>
        <row r="525">
          <cell r="C525" t="str">
            <v>爱浪漫</v>
          </cell>
          <cell r="D525" t="str">
            <v>爱浪漫</v>
          </cell>
          <cell r="E525" t="str">
            <v>爱浪漫.png</v>
          </cell>
          <cell r="F525" t="str">
            <v>iHOT</v>
          </cell>
        </row>
        <row r="526">
          <cell r="C526" t="str">
            <v>爱院线</v>
          </cell>
          <cell r="D526" t="str">
            <v>爱院线</v>
          </cell>
          <cell r="E526" t="str">
            <v>爱院线.png</v>
          </cell>
          <cell r="F526" t="str">
            <v>iHOT</v>
          </cell>
        </row>
        <row r="527">
          <cell r="C527" t="str">
            <v>爱喜剧</v>
          </cell>
          <cell r="D527" t="str">
            <v>爱喜剧</v>
          </cell>
          <cell r="E527" t="str">
            <v>爱喜剧.png</v>
          </cell>
          <cell r="F527" t="str">
            <v>iHOT</v>
          </cell>
        </row>
        <row r="528">
          <cell r="C528" t="str">
            <v>爱科幻</v>
          </cell>
          <cell r="D528" t="str">
            <v>爱科幻</v>
          </cell>
          <cell r="E528" t="str">
            <v>爱科幻.png</v>
          </cell>
          <cell r="F528" t="str">
            <v>iHOT</v>
          </cell>
        </row>
        <row r="529">
          <cell r="C529" t="str">
            <v>爱幼教</v>
          </cell>
          <cell r="D529" t="str">
            <v>爱幼教</v>
          </cell>
          <cell r="E529" t="str">
            <v>爱幼教.png</v>
          </cell>
          <cell r="F529" t="str">
            <v>iHOT</v>
          </cell>
        </row>
        <row r="530">
          <cell r="C530" t="str">
            <v>爱玩具</v>
          </cell>
          <cell r="D530" t="str">
            <v>爱玩具</v>
          </cell>
          <cell r="E530" t="str">
            <v>爱玩具.png</v>
          </cell>
          <cell r="F530" t="str">
            <v>iHOT</v>
          </cell>
        </row>
        <row r="531">
          <cell r="C531" t="str">
            <v>爱科学</v>
          </cell>
          <cell r="D531" t="str">
            <v>爱科学</v>
          </cell>
          <cell r="E531" t="str">
            <v>爱科学.png</v>
          </cell>
          <cell r="F531" t="str">
            <v>iHOT</v>
          </cell>
        </row>
        <row r="532">
          <cell r="C532" t="str">
            <v>移动高清电视</v>
          </cell>
          <cell r="D532" t="str">
            <v>移动高清电视</v>
          </cell>
          <cell r="E532" t="str">
            <v>移动高清电视.png</v>
          </cell>
          <cell r="F532" t="str">
            <v>浙江</v>
          </cell>
        </row>
        <row r="533">
          <cell r="C533" t="str">
            <v>丽水公共</v>
          </cell>
          <cell r="D533" t="str">
            <v>丽水公共</v>
          </cell>
          <cell r="E533" t="str">
            <v>丽水公共.png</v>
          </cell>
          <cell r="F533" t="str">
            <v>浙江</v>
          </cell>
        </row>
        <row r="534">
          <cell r="C534" t="str">
            <v>丽水新闻</v>
          </cell>
          <cell r="D534" t="str">
            <v>丽水新闻</v>
          </cell>
          <cell r="E534" t="str">
            <v>丽水新闻.png</v>
          </cell>
          <cell r="F534" t="str">
            <v>浙江</v>
          </cell>
        </row>
        <row r="535">
          <cell r="C535" t="str">
            <v>湖州公共</v>
          </cell>
          <cell r="D535" t="str">
            <v>湖州公共</v>
          </cell>
          <cell r="E535" t="str">
            <v>湖州公共.png</v>
          </cell>
          <cell r="F535" t="str">
            <v>浙江</v>
          </cell>
        </row>
        <row r="536">
          <cell r="C536" t="str">
            <v>湖州文化娱乐</v>
          </cell>
          <cell r="D536" t="str">
            <v>湖州文化娱乐</v>
          </cell>
          <cell r="E536" t="str">
            <v>湖州文化娱乐.png</v>
          </cell>
          <cell r="F536" t="str">
            <v>浙江</v>
          </cell>
        </row>
        <row r="537">
          <cell r="C537" t="str">
            <v>金华教育科技</v>
          </cell>
          <cell r="D537" t="str">
            <v>金华教育科技</v>
          </cell>
          <cell r="E537" t="str">
            <v>金华教育科技.png</v>
          </cell>
          <cell r="F537" t="str">
            <v>浙江</v>
          </cell>
        </row>
        <row r="538">
          <cell r="C538" t="str">
            <v>金华公共</v>
          </cell>
          <cell r="D538" t="str">
            <v>金华公共</v>
          </cell>
          <cell r="E538" t="str">
            <v>金华公共.png</v>
          </cell>
          <cell r="F538" t="str">
            <v>浙江</v>
          </cell>
        </row>
        <row r="539">
          <cell r="C539" t="str">
            <v>宁波1套</v>
          </cell>
          <cell r="D539" t="str">
            <v>宁波1套</v>
          </cell>
          <cell r="E539" t="str">
            <v>宁波1套.png</v>
          </cell>
          <cell r="F539" t="str">
            <v>浙江</v>
          </cell>
        </row>
        <row r="540">
          <cell r="C540" t="str">
            <v>宁波2套</v>
          </cell>
          <cell r="D540" t="str">
            <v>宁波2套</v>
          </cell>
          <cell r="E540" t="str">
            <v>宁波2套.png</v>
          </cell>
          <cell r="F540" t="str">
            <v>浙江</v>
          </cell>
        </row>
        <row r="541">
          <cell r="C541" t="str">
            <v>宁波3套</v>
          </cell>
          <cell r="D541" t="str">
            <v>宁波3套</v>
          </cell>
          <cell r="E541" t="str">
            <v>宁波3套.png</v>
          </cell>
          <cell r="F541" t="str">
            <v>浙江</v>
          </cell>
        </row>
        <row r="542">
          <cell r="C542" t="str">
            <v>宁波4套</v>
          </cell>
          <cell r="D542" t="str">
            <v>宁波4套</v>
          </cell>
          <cell r="E542" t="str">
            <v>宁波4套.png</v>
          </cell>
          <cell r="F542" t="str">
            <v>浙江</v>
          </cell>
        </row>
        <row r="543">
          <cell r="C543" t="str">
            <v>舟山新闻综合</v>
          </cell>
          <cell r="D543" t="str">
            <v>舟山新闻综合</v>
          </cell>
          <cell r="E543" t="str">
            <v>舟山新闻综合.png</v>
          </cell>
          <cell r="F543" t="str">
            <v>浙江</v>
          </cell>
        </row>
        <row r="544">
          <cell r="C544" t="str">
            <v>舟山公共</v>
          </cell>
          <cell r="D544" t="str">
            <v>舟山公共</v>
          </cell>
          <cell r="E544" t="str">
            <v>舟山公共.png</v>
          </cell>
          <cell r="F544" t="str">
            <v>浙江</v>
          </cell>
        </row>
        <row r="545">
          <cell r="C545" t="str">
            <v>车迷频道</v>
          </cell>
          <cell r="D545" t="str">
            <v>车迷频道</v>
          </cell>
          <cell r="E545" t="str">
            <v>车迷频道.png</v>
          </cell>
          <cell r="F545" t="str">
            <v>数字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3CC1-833C-4F34-887E-71B13D4472BD}">
  <dimension ref="A1:L17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2" sqref="A22"/>
    </sheetView>
  </sheetViews>
  <sheetFormatPr defaultRowHeight="15" x14ac:dyDescent="0.2"/>
  <cols>
    <col min="1" max="1" width="87.125" style="2" bestFit="1" customWidth="1"/>
    <col min="2" max="2" width="14.375" style="2" bestFit="1" customWidth="1"/>
    <col min="3" max="3" width="9.5" style="2" bestFit="1" customWidth="1"/>
    <col min="4" max="4" width="11.625" style="2" bestFit="1" customWidth="1"/>
    <col min="5" max="5" width="8.5" style="2" bestFit="1" customWidth="1"/>
    <col min="6" max="6" width="10.5" style="2" bestFit="1" customWidth="1"/>
    <col min="7" max="10" width="8.5" style="2" bestFit="1" customWidth="1"/>
    <col min="11" max="11" width="10.25" style="2" bestFit="1" customWidth="1"/>
    <col min="12" max="12" width="8.5" style="2" bestFit="1" customWidth="1"/>
    <col min="13" max="16384" width="9" style="2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tr">
        <f>IF(B2="","",VLOOKUP(B2,[1]电视清单!C:F,2,0))</f>
        <v>CCTV1</v>
      </c>
      <c r="D2" s="2" t="str">
        <f>IF(B2="","",VLOOKUP(B2,[1]电视清单!C:F,3,0))</f>
        <v>CCTV1.png</v>
      </c>
      <c r="E2" s="2" t="str">
        <f>IF(B2="","",VLOOKUP(B2,[1]电视清单!C:F,4,0))</f>
        <v>央视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2">
      <c r="A3" s="2" t="s">
        <v>21</v>
      </c>
      <c r="B3" s="2" t="s">
        <v>22</v>
      </c>
      <c r="C3" s="2" t="str">
        <f>IF(B3="","",VLOOKUP(B3,[1]电视清单!C:F,2,0))</f>
        <v>上海都市</v>
      </c>
      <c r="D3" s="2" t="str">
        <f>IF(B3="","",VLOOKUP(B3,[1]电视清单!C:F,3,0))</f>
        <v>上海都市.png</v>
      </c>
      <c r="E3" s="2" t="str">
        <f>IF(B3="","",VLOOKUP(B3,[1]电视清单!C:F,4,0))</f>
        <v>上海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</row>
    <row r="4" spans="1:12" x14ac:dyDescent="0.2">
      <c r="A4" s="2" t="s">
        <v>23</v>
      </c>
      <c r="B4" s="2" t="s">
        <v>24</v>
      </c>
      <c r="C4" s="2" t="str">
        <f>IF(B4="","",VLOOKUP(B4,[1]电视清单!C:F,2,0))</f>
        <v>上海新闻综合</v>
      </c>
      <c r="D4" s="2" t="str">
        <f>IF(B4="","",VLOOKUP(B4,[1]电视清单!C:F,3,0))</f>
        <v>上海新闻综合.png</v>
      </c>
      <c r="E4" s="2" t="str">
        <f>IF(B4="","",VLOOKUP(B4,[1]电视清单!C:F,4,0))</f>
        <v>上海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</row>
    <row r="5" spans="1:12" x14ac:dyDescent="0.2">
      <c r="A5" s="2" t="s">
        <v>25</v>
      </c>
      <c r="B5" s="2" t="s">
        <v>26</v>
      </c>
      <c r="C5" s="2" t="str">
        <f>IF(B5="","",VLOOKUP(B5,[1]电视清单!C:F,2,0))</f>
        <v>浙江卫视</v>
      </c>
      <c r="D5" s="2" t="str">
        <f>IF(B5="","",VLOOKUP(B5,[1]电视清单!C:F,3,0))</f>
        <v>浙江卫视.png</v>
      </c>
      <c r="E5" s="2" t="str">
        <f>IF(B5="","",VLOOKUP(B5,[1]电视清单!C:F,4,0))</f>
        <v>卫视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</row>
    <row r="6" spans="1:12" x14ac:dyDescent="0.2">
      <c r="A6" s="2" t="s">
        <v>27</v>
      </c>
      <c r="B6" s="2" t="s">
        <v>28</v>
      </c>
      <c r="C6" s="2" t="str">
        <f>IF(B6="","",VLOOKUP(B6,[1]电视清单!C:F,2,0))</f>
        <v>东方卫视</v>
      </c>
      <c r="D6" s="2" t="str">
        <f>IF(B6="","",VLOOKUP(B6,[1]电视清单!C:F,3,0))</f>
        <v>东方卫视.png</v>
      </c>
      <c r="E6" s="2" t="str">
        <f>IF(B6="","",VLOOKUP(B6,[1]电视清单!C:F,4,0))</f>
        <v>卫视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</row>
    <row r="7" spans="1:12" x14ac:dyDescent="0.2">
      <c r="A7" s="2" t="s">
        <v>29</v>
      </c>
      <c r="B7" s="2" t="s">
        <v>30</v>
      </c>
      <c r="C7" s="2" t="str">
        <f>IF(B7="","",VLOOKUP(B7,[1]电视清单!C:F,2,0))</f>
        <v>CCTV10</v>
      </c>
      <c r="D7" s="2" t="str">
        <f>IF(B7="","",VLOOKUP(B7,[1]电视清单!C:F,3,0))</f>
        <v>CCTV10.png</v>
      </c>
      <c r="E7" s="2" t="str">
        <f>IF(B7="","",VLOOKUP(B7,[1]电视清单!C:F,4,0))</f>
        <v>央视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18</v>
      </c>
      <c r="K7" s="2" t="s">
        <v>19</v>
      </c>
      <c r="L7" s="2" t="s">
        <v>20</v>
      </c>
    </row>
    <row r="8" spans="1:12" x14ac:dyDescent="0.2">
      <c r="A8" s="2" t="s">
        <v>31</v>
      </c>
      <c r="B8" s="2" t="s">
        <v>32</v>
      </c>
      <c r="C8" s="2" t="str">
        <f>IF(B8="","",VLOOKUP(B8,[1]电视清单!C:F,2,0))</f>
        <v>CCTV7</v>
      </c>
      <c r="D8" s="2" t="str">
        <f>IF(B8="","",VLOOKUP(B8,[1]电视清单!C:F,3,0))</f>
        <v>CCTV7.png</v>
      </c>
      <c r="E8" s="2" t="str">
        <f>IF(B8="","",VLOOKUP(B8,[1]电视清单!C:F,4,0))</f>
        <v>央视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</row>
    <row r="9" spans="1:12" x14ac:dyDescent="0.2">
      <c r="A9" s="2" t="s">
        <v>33</v>
      </c>
      <c r="B9" s="2" t="s">
        <v>34</v>
      </c>
      <c r="C9" s="2" t="str">
        <f>IF(B9="","",VLOOKUP(B9,[1]电视清单!C:F,2,0))</f>
        <v>CCTV4</v>
      </c>
      <c r="D9" s="2" t="str">
        <f>IF(B9="","",VLOOKUP(B9,[1]电视清单!C:F,3,0))</f>
        <v>CCTV4.png</v>
      </c>
      <c r="E9" s="2" t="str">
        <f>IF(B9="","",VLOOKUP(B9,[1]电视清单!C:F,4,0))</f>
        <v>央视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18</v>
      </c>
      <c r="K9" s="2" t="s">
        <v>19</v>
      </c>
      <c r="L9" s="2" t="s">
        <v>20</v>
      </c>
    </row>
    <row r="10" spans="1:12" x14ac:dyDescent="0.2">
      <c r="A10" s="2" t="s">
        <v>35</v>
      </c>
      <c r="B10" s="2" t="s">
        <v>36</v>
      </c>
      <c r="C10" s="2" t="str">
        <f>IF(B10="","",VLOOKUP(B10,[1]电视清单!C:F,2,0))</f>
        <v>CCTV2</v>
      </c>
      <c r="D10" s="2" t="str">
        <f>IF(B10="","",VLOOKUP(B10,[1]电视清单!C:F,3,0))</f>
        <v>CCTV2.png</v>
      </c>
      <c r="E10" s="2" t="str">
        <f>IF(B10="","",VLOOKUP(B10,[1]电视清单!C:F,4,0))</f>
        <v>央视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18</v>
      </c>
      <c r="K10" s="2" t="s">
        <v>19</v>
      </c>
      <c r="L10" s="2" t="s">
        <v>20</v>
      </c>
    </row>
    <row r="11" spans="1:12" x14ac:dyDescent="0.2">
      <c r="A11" s="2" t="s">
        <v>37</v>
      </c>
      <c r="B11" s="2" t="s">
        <v>38</v>
      </c>
      <c r="C11" s="2" t="str">
        <f>IF(B11="","",VLOOKUP(B11,[1]电视清单!C:F,2,0))</f>
        <v>东方卫视</v>
      </c>
      <c r="D11" s="2" t="str">
        <f>IF(B11="","",VLOOKUP(B11,[1]电视清单!C:F,3,0))</f>
        <v>东方卫视.png</v>
      </c>
      <c r="E11" s="2" t="str">
        <f>IF(B11="","",VLOOKUP(B11,[1]电视清单!C:F,4,0))</f>
        <v>卫视</v>
      </c>
      <c r="F11" s="2" t="s">
        <v>39</v>
      </c>
      <c r="G11" s="2" t="s">
        <v>40</v>
      </c>
      <c r="H11" s="2" t="s">
        <v>16</v>
      </c>
      <c r="I11" s="2" t="s">
        <v>17</v>
      </c>
      <c r="J11" s="2" t="s">
        <v>18</v>
      </c>
      <c r="K11" s="2" t="s">
        <v>19</v>
      </c>
      <c r="L11" s="2" t="s">
        <v>20</v>
      </c>
    </row>
    <row r="12" spans="1:12" x14ac:dyDescent="0.2">
      <c r="A12" s="2" t="s">
        <v>41</v>
      </c>
      <c r="B12" s="2" t="s">
        <v>24</v>
      </c>
      <c r="C12" s="2" t="str">
        <f>IF(B12="","",VLOOKUP(B12,[1]电视清单!C:F,2,0))</f>
        <v>上海新闻综合</v>
      </c>
      <c r="D12" s="2" t="str">
        <f>IF(B12="","",VLOOKUP(B12,[1]电视清单!C:F,3,0))</f>
        <v>上海新闻综合.png</v>
      </c>
      <c r="E12" s="2" t="str">
        <f>IF(B12="","",VLOOKUP(B12,[1]电视清单!C:F,4,0))</f>
        <v>上海</v>
      </c>
      <c r="F12" s="2" t="s">
        <v>39</v>
      </c>
      <c r="G12" s="2" t="s">
        <v>40</v>
      </c>
      <c r="H12" s="2" t="s">
        <v>16</v>
      </c>
      <c r="I12" s="2" t="s">
        <v>17</v>
      </c>
      <c r="J12" s="2" t="s">
        <v>18</v>
      </c>
      <c r="K12" s="2" t="s">
        <v>19</v>
      </c>
      <c r="L12" s="2" t="s">
        <v>20</v>
      </c>
    </row>
    <row r="13" spans="1:12" x14ac:dyDescent="0.2">
      <c r="A13" s="2" t="s">
        <v>42</v>
      </c>
      <c r="B13" s="2" t="s">
        <v>22</v>
      </c>
      <c r="C13" s="2" t="str">
        <f>IF(B13="","",VLOOKUP(B13,[1]电视清单!C:F,2,0))</f>
        <v>上海都市</v>
      </c>
      <c r="D13" s="2" t="str">
        <f>IF(B13="","",VLOOKUP(B13,[1]电视清单!C:F,3,0))</f>
        <v>上海都市.png</v>
      </c>
      <c r="E13" s="2" t="str">
        <f>IF(B13="","",VLOOKUP(B13,[1]电视清单!C:F,4,0))</f>
        <v>上海</v>
      </c>
      <c r="F13" s="2" t="s">
        <v>39</v>
      </c>
      <c r="G13" s="2" t="s">
        <v>40</v>
      </c>
      <c r="H13" s="2" t="s">
        <v>16</v>
      </c>
      <c r="I13" s="2" t="s">
        <v>17</v>
      </c>
      <c r="J13" s="2" t="s">
        <v>18</v>
      </c>
      <c r="K13" s="2" t="s">
        <v>19</v>
      </c>
      <c r="L13" s="2" t="s">
        <v>20</v>
      </c>
    </row>
    <row r="14" spans="1:12" x14ac:dyDescent="0.2">
      <c r="A14" s="2" t="s">
        <v>43</v>
      </c>
      <c r="B14" s="3" t="s">
        <v>44</v>
      </c>
      <c r="C14" s="2" t="str">
        <f>IF(B14="","",VLOOKUP(B14,[1]电视清单!C:F,2,0))</f>
        <v>东方影视</v>
      </c>
      <c r="D14" s="2" t="str">
        <f>IF(B14="","",VLOOKUP(B14,[1]电视清单!C:F,3,0))</f>
        <v>东方影视.png</v>
      </c>
      <c r="E14" s="2" t="str">
        <f>IF(B14="","",VLOOKUP(B14,[1]电视清单!C:F,4,0))</f>
        <v>上海</v>
      </c>
      <c r="F14" s="2" t="s">
        <v>39</v>
      </c>
      <c r="G14" s="2" t="s">
        <v>40</v>
      </c>
      <c r="H14" s="2" t="s">
        <v>16</v>
      </c>
      <c r="I14" s="2" t="s">
        <v>17</v>
      </c>
      <c r="J14" s="2" t="s">
        <v>18</v>
      </c>
      <c r="K14" s="2" t="s">
        <v>19</v>
      </c>
      <c r="L14" s="2" t="s">
        <v>20</v>
      </c>
    </row>
    <row r="15" spans="1:12" x14ac:dyDescent="0.2">
      <c r="A15" s="2" t="s">
        <v>45</v>
      </c>
      <c r="B15" s="3" t="s">
        <v>46</v>
      </c>
      <c r="C15" s="2" t="str">
        <f>IF(B15="","",VLOOKUP(B15,[1]电视清单!C:F,2,0))</f>
        <v>第一财经</v>
      </c>
      <c r="D15" s="2" t="str">
        <f>IF(B15="","",VLOOKUP(B15,[1]电视清单!C:F,3,0))</f>
        <v>第一财经.png</v>
      </c>
      <c r="E15" s="2" t="str">
        <f>IF(B15="","",VLOOKUP(B15,[1]电视清单!C:F,4,0))</f>
        <v>其他</v>
      </c>
      <c r="F15" s="2" t="s">
        <v>39</v>
      </c>
      <c r="G15" s="2" t="s">
        <v>40</v>
      </c>
      <c r="H15" s="2" t="s">
        <v>16</v>
      </c>
      <c r="I15" s="2" t="s">
        <v>17</v>
      </c>
      <c r="J15" s="2" t="s">
        <v>18</v>
      </c>
      <c r="K15" s="2" t="s">
        <v>19</v>
      </c>
      <c r="L15" s="2" t="s">
        <v>20</v>
      </c>
    </row>
    <row r="16" spans="1:12" x14ac:dyDescent="0.2">
      <c r="A16" s="2" t="s">
        <v>47</v>
      </c>
      <c r="B16" s="3" t="s">
        <v>48</v>
      </c>
      <c r="C16" s="2" t="str">
        <f>IF(B16="","",VLOOKUP(B16,[1]电视清单!C:F,2,0))</f>
        <v>五星体育</v>
      </c>
      <c r="D16" s="2" t="str">
        <f>IF(B16="","",VLOOKUP(B16,[1]电视清单!C:F,3,0))</f>
        <v>五星体育.png</v>
      </c>
      <c r="E16" s="2" t="str">
        <f>IF(B16="","",VLOOKUP(B16,[1]电视清单!C:F,4,0))</f>
        <v>上海</v>
      </c>
      <c r="F16" s="2" t="s">
        <v>39</v>
      </c>
      <c r="G16" s="2" t="s">
        <v>40</v>
      </c>
      <c r="H16" s="2" t="s">
        <v>16</v>
      </c>
      <c r="I16" s="2" t="s">
        <v>17</v>
      </c>
      <c r="J16" s="2" t="s">
        <v>18</v>
      </c>
      <c r="K16" s="2" t="s">
        <v>19</v>
      </c>
      <c r="L16" s="2" t="s">
        <v>20</v>
      </c>
    </row>
    <row r="17" spans="1:12" x14ac:dyDescent="0.2">
      <c r="A17" s="2" t="s">
        <v>49</v>
      </c>
      <c r="B17" s="2" t="s">
        <v>50</v>
      </c>
      <c r="C17" s="2" t="str">
        <f>IF(B17="","",VLOOKUP(B17,[1]电视清单!C:F,2,0))</f>
        <v>CETV1</v>
      </c>
      <c r="D17" s="2" t="str">
        <f>IF(B17="","",VLOOKUP(B17,[1]电视清单!C:F,3,0))</f>
        <v>CETV1.png</v>
      </c>
      <c r="E17" s="2" t="str">
        <f>IF(B17="","",VLOOKUP(B17,[1]电视清单!C:F,4,0))</f>
        <v>卫视</v>
      </c>
      <c r="F17" s="2" t="s">
        <v>39</v>
      </c>
      <c r="G17" s="2" t="s">
        <v>40</v>
      </c>
      <c r="H17" s="2" t="s">
        <v>16</v>
      </c>
      <c r="I17" s="2" t="s">
        <v>17</v>
      </c>
      <c r="J17" s="2" t="s">
        <v>18</v>
      </c>
      <c r="K17" s="2" t="s">
        <v>19</v>
      </c>
      <c r="L17" s="2" t="s">
        <v>20</v>
      </c>
    </row>
    <row r="18" spans="1:12" x14ac:dyDescent="0.2">
      <c r="A18" s="2" t="s">
        <v>51</v>
      </c>
      <c r="B18" s="2" t="s">
        <v>52</v>
      </c>
      <c r="C18" s="2" t="str">
        <f>IF(B18="","",VLOOKUP(B18,[1]电视清单!C:F,2,0))</f>
        <v>CCTV1</v>
      </c>
      <c r="D18" s="2" t="str">
        <f>IF(B18="","",VLOOKUP(B18,[1]电视清单!C:F,3,0))</f>
        <v>CCTV1.png</v>
      </c>
      <c r="E18" s="2" t="str">
        <f>IF(B18="","",VLOOKUP(B18,[1]电视清单!C:F,4,0))</f>
        <v>央视</v>
      </c>
      <c r="F18" s="2" t="s">
        <v>39</v>
      </c>
      <c r="G18" s="2" t="s">
        <v>40</v>
      </c>
      <c r="H18" s="2" t="s">
        <v>16</v>
      </c>
      <c r="I18" s="2" t="s">
        <v>17</v>
      </c>
      <c r="J18" s="2" t="s">
        <v>18</v>
      </c>
      <c r="K18" s="2" t="s">
        <v>19</v>
      </c>
      <c r="L18" s="2" t="s">
        <v>20</v>
      </c>
    </row>
    <row r="19" spans="1:12" x14ac:dyDescent="0.2">
      <c r="A19" s="2" t="s">
        <v>53</v>
      </c>
      <c r="B19" s="2" t="s">
        <v>54</v>
      </c>
      <c r="C19" s="2" t="str">
        <f>IF(B19="","",VLOOKUP(B19,[1]电视清单!C:F,2,0))</f>
        <v>浙江卫视</v>
      </c>
      <c r="D19" s="2" t="str">
        <f>IF(B19="","",VLOOKUP(B19,[1]电视清单!C:F,3,0))</f>
        <v>浙江卫视.png</v>
      </c>
      <c r="E19" s="2" t="str">
        <f>IF(B19="","",VLOOKUP(B19,[1]电视清单!C:F,4,0))</f>
        <v>卫视</v>
      </c>
      <c r="F19" s="2" t="s">
        <v>39</v>
      </c>
      <c r="G19" s="2" t="s">
        <v>40</v>
      </c>
      <c r="H19" s="2" t="s">
        <v>16</v>
      </c>
      <c r="I19" s="2" t="s">
        <v>17</v>
      </c>
      <c r="J19" s="2" t="s">
        <v>18</v>
      </c>
      <c r="K19" s="2" t="s">
        <v>19</v>
      </c>
      <c r="L19" s="2" t="s">
        <v>20</v>
      </c>
    </row>
    <row r="20" spans="1:12" x14ac:dyDescent="0.2">
      <c r="A20" s="2" t="s">
        <v>55</v>
      </c>
      <c r="B20" s="2" t="s">
        <v>56</v>
      </c>
      <c r="C20" s="2" t="str">
        <f>IF(B20="","",VLOOKUP(B20,[1]电视清单!C:F,2,0))</f>
        <v>湖南卫视</v>
      </c>
      <c r="D20" s="2" t="str">
        <f>IF(B20="","",VLOOKUP(B20,[1]电视清单!C:F,3,0))</f>
        <v>湖南卫视.png</v>
      </c>
      <c r="E20" s="2" t="str">
        <f>IF(B20="","",VLOOKUP(B20,[1]电视清单!C:F,4,0))</f>
        <v>卫视</v>
      </c>
      <c r="F20" s="2" t="s">
        <v>39</v>
      </c>
      <c r="G20" s="2" t="s">
        <v>40</v>
      </c>
      <c r="H20" s="2" t="s">
        <v>16</v>
      </c>
      <c r="I20" s="2" t="s">
        <v>17</v>
      </c>
      <c r="J20" s="2" t="s">
        <v>18</v>
      </c>
      <c r="K20" s="2" t="s">
        <v>19</v>
      </c>
      <c r="L20" s="2" t="s">
        <v>20</v>
      </c>
    </row>
    <row r="21" spans="1:12" x14ac:dyDescent="0.2">
      <c r="A21" s="2" t="s">
        <v>57</v>
      </c>
      <c r="B21" s="2" t="s">
        <v>58</v>
      </c>
      <c r="C21" s="2" t="str">
        <f>IF(B21="","",VLOOKUP(B21,[1]电视清单!C:F,2,0))</f>
        <v>湖北卫视</v>
      </c>
      <c r="D21" s="2" t="str">
        <f>IF(B21="","",VLOOKUP(B21,[1]电视清单!C:F,3,0))</f>
        <v>湖北卫视.png</v>
      </c>
      <c r="E21" s="2" t="str">
        <f>IF(B21="","",VLOOKUP(B21,[1]电视清单!C:F,4,0))</f>
        <v>卫视</v>
      </c>
      <c r="F21" s="2" t="s">
        <v>39</v>
      </c>
      <c r="G21" s="2" t="s">
        <v>40</v>
      </c>
      <c r="H21" s="2" t="s">
        <v>16</v>
      </c>
      <c r="I21" s="2" t="s">
        <v>17</v>
      </c>
      <c r="J21" s="2" t="s">
        <v>18</v>
      </c>
      <c r="K21" s="2" t="s">
        <v>19</v>
      </c>
      <c r="L21" s="2" t="s">
        <v>20</v>
      </c>
    </row>
    <row r="22" spans="1:12" x14ac:dyDescent="0.2">
      <c r="A22" s="2" t="s">
        <v>59</v>
      </c>
      <c r="B22" s="2" t="s">
        <v>60</v>
      </c>
      <c r="C22" s="2" t="str">
        <f>IF(B22="","",VLOOKUP(B22,[1]电视清单!C:F,2,0))</f>
        <v>山东卫视</v>
      </c>
      <c r="D22" s="2" t="str">
        <f>IF(B22="","",VLOOKUP(B22,[1]电视清单!C:F,3,0))</f>
        <v>山东卫视.png</v>
      </c>
      <c r="E22" s="2" t="str">
        <f>IF(B22="","",VLOOKUP(B22,[1]电视清单!C:F,4,0))</f>
        <v>卫视</v>
      </c>
      <c r="F22" s="2" t="s">
        <v>39</v>
      </c>
      <c r="G22" s="2" t="s">
        <v>40</v>
      </c>
      <c r="H22" s="2" t="s">
        <v>16</v>
      </c>
      <c r="I22" s="2" t="s">
        <v>17</v>
      </c>
      <c r="J22" s="2" t="s">
        <v>18</v>
      </c>
      <c r="K22" s="2" t="s">
        <v>19</v>
      </c>
      <c r="L22" s="2" t="s">
        <v>20</v>
      </c>
    </row>
    <row r="23" spans="1:12" x14ac:dyDescent="0.2">
      <c r="A23" s="2" t="s">
        <v>61</v>
      </c>
      <c r="B23" s="2" t="s">
        <v>62</v>
      </c>
      <c r="C23" s="2" t="str">
        <f>IF(B23="","",VLOOKUP(B23,[1]电视清单!C:F,2,0))</f>
        <v>北京卫视</v>
      </c>
      <c r="D23" s="2" t="str">
        <f>IF(B23="","",VLOOKUP(B23,[1]电视清单!C:F,3,0))</f>
        <v>北京卫视.png</v>
      </c>
      <c r="E23" s="2" t="str">
        <f>IF(B23="","",VLOOKUP(B23,[1]电视清单!C:F,4,0))</f>
        <v>卫视</v>
      </c>
      <c r="F23" s="2" t="s">
        <v>39</v>
      </c>
      <c r="G23" s="2" t="s">
        <v>40</v>
      </c>
      <c r="H23" s="2" t="s">
        <v>16</v>
      </c>
      <c r="I23" s="2" t="s">
        <v>17</v>
      </c>
      <c r="J23" s="2" t="s">
        <v>18</v>
      </c>
      <c r="K23" s="2" t="s">
        <v>19</v>
      </c>
      <c r="L23" s="2" t="s">
        <v>20</v>
      </c>
    </row>
    <row r="24" spans="1:12" x14ac:dyDescent="0.2">
      <c r="A24" s="2" t="s">
        <v>63</v>
      </c>
      <c r="B24" s="2" t="s">
        <v>64</v>
      </c>
      <c r="C24" s="2" t="str">
        <f>IF(B24="","",VLOOKUP(B24,[1]电视清单!C:F,2,0))</f>
        <v>深圳卫视</v>
      </c>
      <c r="D24" s="2" t="str">
        <f>IF(B24="","",VLOOKUP(B24,[1]电视清单!C:F,3,0))</f>
        <v>深圳卫视.png</v>
      </c>
      <c r="E24" s="2" t="str">
        <f>IF(B24="","",VLOOKUP(B24,[1]电视清单!C:F,4,0))</f>
        <v>卫视</v>
      </c>
      <c r="F24" s="2" t="s">
        <v>39</v>
      </c>
      <c r="G24" s="2" t="s">
        <v>40</v>
      </c>
      <c r="H24" s="2" t="s">
        <v>16</v>
      </c>
      <c r="I24" s="2" t="s">
        <v>17</v>
      </c>
      <c r="J24" s="2" t="s">
        <v>18</v>
      </c>
      <c r="K24" s="2" t="s">
        <v>19</v>
      </c>
      <c r="L24" s="2" t="s">
        <v>20</v>
      </c>
    </row>
    <row r="25" spans="1:12" x14ac:dyDescent="0.2">
      <c r="A25" s="2" t="s">
        <v>65</v>
      </c>
      <c r="B25" s="2" t="s">
        <v>66</v>
      </c>
      <c r="C25" s="2" t="str">
        <f>IF(B25="","",VLOOKUP(B25,[1]电视清单!C:F,2,0))</f>
        <v>黑龙江卫视</v>
      </c>
      <c r="D25" s="2" t="str">
        <f>IF(B25="","",VLOOKUP(B25,[1]电视清单!C:F,3,0))</f>
        <v>黑龙江卫视.png</v>
      </c>
      <c r="E25" s="2" t="str">
        <f>IF(B25="","",VLOOKUP(B25,[1]电视清单!C:F,4,0))</f>
        <v>卫视</v>
      </c>
      <c r="F25" s="2" t="s">
        <v>39</v>
      </c>
      <c r="G25" s="2" t="s">
        <v>40</v>
      </c>
      <c r="H25" s="2" t="s">
        <v>16</v>
      </c>
      <c r="I25" s="2" t="s">
        <v>17</v>
      </c>
      <c r="J25" s="2" t="s">
        <v>18</v>
      </c>
      <c r="K25" s="2" t="s">
        <v>19</v>
      </c>
      <c r="L25" s="2" t="s">
        <v>20</v>
      </c>
    </row>
    <row r="26" spans="1:12" x14ac:dyDescent="0.2">
      <c r="A26" s="2" t="s">
        <v>67</v>
      </c>
      <c r="B26" s="2" t="s">
        <v>68</v>
      </c>
      <c r="C26" s="2" t="str">
        <f>IF(B26="","",VLOOKUP(B26,[1]电视清单!C:F,2,0))</f>
        <v>广东卫视</v>
      </c>
      <c r="D26" s="2" t="str">
        <f>IF(B26="","",VLOOKUP(B26,[1]电视清单!C:F,3,0))</f>
        <v>广东卫视.png</v>
      </c>
      <c r="E26" s="2" t="str">
        <f>IF(B26="","",VLOOKUP(B26,[1]电视清单!C:F,4,0))</f>
        <v>卫视</v>
      </c>
      <c r="F26" s="2" t="s">
        <v>39</v>
      </c>
      <c r="G26" s="2" t="s">
        <v>40</v>
      </c>
      <c r="H26" s="2" t="s">
        <v>16</v>
      </c>
      <c r="I26" s="2" t="s">
        <v>17</v>
      </c>
      <c r="J26" s="2" t="s">
        <v>18</v>
      </c>
      <c r="K26" s="2" t="s">
        <v>19</v>
      </c>
      <c r="L26" s="2" t="s">
        <v>20</v>
      </c>
    </row>
    <row r="27" spans="1:12" x14ac:dyDescent="0.2">
      <c r="A27" s="2" t="s">
        <v>69</v>
      </c>
      <c r="B27" s="2" t="s">
        <v>70</v>
      </c>
      <c r="C27" s="2" t="str">
        <f>IF(B27="","",VLOOKUP(B27,[1]电视清单!C:F,2,0))</f>
        <v>江苏卫视</v>
      </c>
      <c r="D27" s="2" t="str">
        <f>IF(B27="","",VLOOKUP(B27,[1]电视清单!C:F,3,0))</f>
        <v>江苏卫视.png</v>
      </c>
      <c r="E27" s="2" t="str">
        <f>IF(B27="","",VLOOKUP(B27,[1]电视清单!C:F,4,0))</f>
        <v>卫视</v>
      </c>
      <c r="F27" s="2" t="s">
        <v>39</v>
      </c>
      <c r="G27" s="2" t="s">
        <v>40</v>
      </c>
      <c r="H27" s="2" t="s">
        <v>16</v>
      </c>
      <c r="I27" s="2" t="s">
        <v>17</v>
      </c>
      <c r="J27" s="2" t="s">
        <v>18</v>
      </c>
      <c r="K27" s="2" t="s">
        <v>19</v>
      </c>
      <c r="L27" s="2" t="s">
        <v>20</v>
      </c>
    </row>
    <row r="28" spans="1:12" x14ac:dyDescent="0.2">
      <c r="A28" s="2" t="s">
        <v>71</v>
      </c>
      <c r="B28" s="2" t="s">
        <v>72</v>
      </c>
      <c r="C28" s="2" t="str">
        <f>IF(B28="","",VLOOKUP(B28,[1]电视清单!C:F,2,0))</f>
        <v>江西卫视</v>
      </c>
      <c r="D28" s="2" t="str">
        <f>IF(B28="","",VLOOKUP(B28,[1]电视清单!C:F,3,0))</f>
        <v>江西卫视.png</v>
      </c>
      <c r="E28" s="2" t="str">
        <f>IF(B28="","",VLOOKUP(B28,[1]电视清单!C:F,4,0))</f>
        <v>卫视</v>
      </c>
      <c r="F28" s="2" t="s">
        <v>39</v>
      </c>
      <c r="G28" s="2" t="s">
        <v>40</v>
      </c>
      <c r="H28" s="2" t="s">
        <v>16</v>
      </c>
      <c r="I28" s="2" t="s">
        <v>17</v>
      </c>
      <c r="J28" s="2" t="s">
        <v>18</v>
      </c>
      <c r="K28" s="2" t="s">
        <v>19</v>
      </c>
      <c r="L28" s="2" t="s">
        <v>20</v>
      </c>
    </row>
    <row r="29" spans="1:12" x14ac:dyDescent="0.2">
      <c r="A29" s="2" t="s">
        <v>73</v>
      </c>
      <c r="B29" s="2" t="s">
        <v>74</v>
      </c>
      <c r="C29" s="2" t="str">
        <f>IF(B29="","",VLOOKUP(B29,[1]电视清单!C:F,2,0))</f>
        <v>辽宁卫视</v>
      </c>
      <c r="D29" s="2" t="str">
        <f>IF(B29="","",VLOOKUP(B29,[1]电视清单!C:F,3,0))</f>
        <v>辽宁卫视.png</v>
      </c>
      <c r="E29" s="2" t="str">
        <f>IF(B29="","",VLOOKUP(B29,[1]电视清单!C:F,4,0))</f>
        <v>卫视</v>
      </c>
      <c r="F29" s="2" t="s">
        <v>39</v>
      </c>
      <c r="G29" s="2" t="s">
        <v>40</v>
      </c>
      <c r="H29" s="2" t="s">
        <v>16</v>
      </c>
      <c r="I29" s="2" t="s">
        <v>17</v>
      </c>
      <c r="J29" s="2" t="s">
        <v>18</v>
      </c>
      <c r="K29" s="2" t="s">
        <v>19</v>
      </c>
      <c r="L29" s="2" t="s">
        <v>20</v>
      </c>
    </row>
    <row r="30" spans="1:12" x14ac:dyDescent="0.2">
      <c r="A30" s="2" t="s">
        <v>75</v>
      </c>
      <c r="B30" s="2" t="s">
        <v>76</v>
      </c>
      <c r="C30" s="2" t="str">
        <f>IF(B30="","",VLOOKUP(B30,[1]电视清单!C:F,2,0))</f>
        <v>天津卫视</v>
      </c>
      <c r="D30" s="2" t="str">
        <f>IF(B30="","",VLOOKUP(B30,[1]电视清单!C:F,3,0))</f>
        <v>天津卫视.png</v>
      </c>
      <c r="E30" s="2" t="str">
        <f>IF(B30="","",VLOOKUP(B30,[1]电视清单!C:F,4,0))</f>
        <v>卫视</v>
      </c>
      <c r="F30" s="2" t="s">
        <v>39</v>
      </c>
      <c r="G30" s="2" t="s">
        <v>40</v>
      </c>
      <c r="H30" s="2" t="s">
        <v>16</v>
      </c>
      <c r="I30" s="2" t="s">
        <v>17</v>
      </c>
      <c r="J30" s="2" t="s">
        <v>18</v>
      </c>
      <c r="K30" s="2" t="s">
        <v>19</v>
      </c>
      <c r="L30" s="2" t="s">
        <v>20</v>
      </c>
    </row>
    <row r="31" spans="1:12" x14ac:dyDescent="0.2">
      <c r="A31" s="2" t="s">
        <v>77</v>
      </c>
      <c r="B31" s="2" t="s">
        <v>78</v>
      </c>
      <c r="C31" s="2" t="str">
        <f>IF(B31="","",VLOOKUP(B31,[1]电视清单!C:F,2,0))</f>
        <v>安徽卫视</v>
      </c>
      <c r="D31" s="2" t="str">
        <f>IF(B31="","",VLOOKUP(B31,[1]电视清单!C:F,3,0))</f>
        <v>安徽卫视.png</v>
      </c>
      <c r="E31" s="2" t="str">
        <f>IF(B31="","",VLOOKUP(B31,[1]电视清单!C:F,4,0))</f>
        <v>卫视</v>
      </c>
      <c r="F31" s="2" t="s">
        <v>39</v>
      </c>
      <c r="G31" s="2" t="s">
        <v>40</v>
      </c>
      <c r="H31" s="2" t="s">
        <v>16</v>
      </c>
      <c r="I31" s="2" t="s">
        <v>17</v>
      </c>
      <c r="J31" s="2" t="s">
        <v>18</v>
      </c>
      <c r="K31" s="2" t="s">
        <v>19</v>
      </c>
      <c r="L31" s="2" t="s">
        <v>20</v>
      </c>
    </row>
    <row r="32" spans="1:12" x14ac:dyDescent="0.2">
      <c r="A32" s="2" t="s">
        <v>79</v>
      </c>
      <c r="B32" s="3" t="s">
        <v>80</v>
      </c>
      <c r="C32" s="2" t="str">
        <f>IF(B32="","",VLOOKUP(B32,[1]电视清单!C:F,2,0))</f>
        <v>东方购物</v>
      </c>
      <c r="D32" s="2" t="str">
        <f>IF(B32="","",VLOOKUP(B32,[1]电视清单!C:F,3,0))</f>
        <v>东方购物.png</v>
      </c>
      <c r="E32" s="2" t="str">
        <f>IF(B32="","",VLOOKUP(B32,[1]电视清单!C:F,4,0))</f>
        <v>上海</v>
      </c>
      <c r="F32" s="2" t="s">
        <v>39</v>
      </c>
      <c r="G32" s="2" t="s">
        <v>40</v>
      </c>
      <c r="H32" s="2" t="s">
        <v>16</v>
      </c>
      <c r="I32" s="2" t="s">
        <v>17</v>
      </c>
      <c r="J32" s="2" t="s">
        <v>18</v>
      </c>
      <c r="K32" s="2" t="s">
        <v>19</v>
      </c>
      <c r="L32" s="2" t="s">
        <v>20</v>
      </c>
    </row>
    <row r="33" spans="1:12" x14ac:dyDescent="0.2">
      <c r="A33" s="2" t="s">
        <v>81</v>
      </c>
      <c r="B33" s="3" t="s">
        <v>80</v>
      </c>
      <c r="C33" s="2" t="str">
        <f>IF(B33="","",VLOOKUP(B33,[1]电视清单!C:F,2,0))</f>
        <v>东方购物</v>
      </c>
      <c r="D33" s="2" t="str">
        <f>IF(B33="","",VLOOKUP(B33,[1]电视清单!C:F,3,0))</f>
        <v>东方购物.png</v>
      </c>
      <c r="E33" s="2" t="str">
        <f>IF(B33="","",VLOOKUP(B33,[1]电视清单!C:F,4,0))</f>
        <v>上海</v>
      </c>
      <c r="F33" s="2" t="s">
        <v>39</v>
      </c>
      <c r="G33" s="2" t="s">
        <v>40</v>
      </c>
      <c r="H33" s="2" t="s">
        <v>16</v>
      </c>
      <c r="I33" s="2" t="s">
        <v>17</v>
      </c>
      <c r="J33" s="2" t="s">
        <v>18</v>
      </c>
      <c r="K33" s="2" t="s">
        <v>19</v>
      </c>
      <c r="L33" s="2" t="s">
        <v>20</v>
      </c>
    </row>
    <row r="34" spans="1:12" x14ac:dyDescent="0.2">
      <c r="A34" s="2" t="s">
        <v>82</v>
      </c>
      <c r="B34" s="2" t="s">
        <v>44</v>
      </c>
      <c r="C34" s="2" t="str">
        <f>IF(B34="","",VLOOKUP(B34,[1]电视清单!C:F,2,0))</f>
        <v>东方影视</v>
      </c>
      <c r="D34" s="2" t="str">
        <f>IF(B34="","",VLOOKUP(B34,[1]电视清单!C:F,3,0))</f>
        <v>东方影视.png</v>
      </c>
      <c r="E34" s="2" t="str">
        <f>IF(B34="","",VLOOKUP(B34,[1]电视清单!C:F,4,0))</f>
        <v>上海</v>
      </c>
      <c r="F34" s="2" t="s">
        <v>14</v>
      </c>
      <c r="G34" s="2" t="s">
        <v>15</v>
      </c>
      <c r="H34" s="2" t="s">
        <v>16</v>
      </c>
      <c r="I34" s="2" t="s">
        <v>17</v>
      </c>
      <c r="J34" s="2" t="s">
        <v>18</v>
      </c>
      <c r="K34" s="2" t="s">
        <v>19</v>
      </c>
      <c r="L34" s="2" t="s">
        <v>20</v>
      </c>
    </row>
    <row r="35" spans="1:12" x14ac:dyDescent="0.2">
      <c r="A35" s="2" t="s">
        <v>83</v>
      </c>
      <c r="B35" s="2" t="s">
        <v>46</v>
      </c>
      <c r="C35" s="2" t="str">
        <f>IF(B35="","",VLOOKUP(B35,[1]电视清单!C:F,2,0))</f>
        <v>第一财经</v>
      </c>
      <c r="D35" s="2" t="str">
        <f>IF(B35="","",VLOOKUP(B35,[1]电视清单!C:F,3,0))</f>
        <v>第一财经.png</v>
      </c>
      <c r="E35" s="2" t="str">
        <f>IF(B35="","",VLOOKUP(B35,[1]电视清单!C:F,4,0))</f>
        <v>其他</v>
      </c>
      <c r="F35" s="2" t="s">
        <v>14</v>
      </c>
      <c r="G35" s="2" t="s">
        <v>15</v>
      </c>
      <c r="H35" s="2" t="s">
        <v>16</v>
      </c>
      <c r="I35" s="2" t="s">
        <v>17</v>
      </c>
      <c r="J35" s="2" t="s">
        <v>18</v>
      </c>
      <c r="K35" s="2" t="s">
        <v>19</v>
      </c>
      <c r="L35" s="2" t="s">
        <v>20</v>
      </c>
    </row>
    <row r="36" spans="1:12" x14ac:dyDescent="0.2">
      <c r="A36" s="2" t="s">
        <v>84</v>
      </c>
      <c r="B36" s="2" t="s">
        <v>48</v>
      </c>
      <c r="C36" s="2" t="str">
        <f>IF(B36="","",VLOOKUP(B36,[1]电视清单!C:F,2,0))</f>
        <v>五星体育</v>
      </c>
      <c r="D36" s="2" t="str">
        <f>IF(B36="","",VLOOKUP(B36,[1]电视清单!C:F,3,0))</f>
        <v>五星体育.png</v>
      </c>
      <c r="E36" s="2" t="str">
        <f>IF(B36="","",VLOOKUP(B36,[1]电视清单!C:F,4,0))</f>
        <v>上海</v>
      </c>
      <c r="F36" s="2" t="s">
        <v>14</v>
      </c>
      <c r="G36" s="2" t="s">
        <v>15</v>
      </c>
      <c r="H36" s="2" t="s">
        <v>16</v>
      </c>
      <c r="I36" s="2" t="s">
        <v>17</v>
      </c>
      <c r="J36" s="2" t="s">
        <v>18</v>
      </c>
      <c r="K36" s="2" t="s">
        <v>19</v>
      </c>
      <c r="L36" s="2" t="s">
        <v>20</v>
      </c>
    </row>
    <row r="37" spans="1:12" x14ac:dyDescent="0.2">
      <c r="A37" s="2" t="s">
        <v>85</v>
      </c>
      <c r="B37" s="2" t="s">
        <v>86</v>
      </c>
      <c r="C37" s="2" t="str">
        <f>IF(B37="","",VLOOKUP(B37,[1]电视清单!C:F,2,0))</f>
        <v>上海教育</v>
      </c>
      <c r="D37" s="2" t="str">
        <f>IF(B37="","",VLOOKUP(B37,[1]电视清单!C:F,3,0))</f>
        <v>上海教育.png</v>
      </c>
      <c r="E37" s="2" t="str">
        <f>IF(B37="","",VLOOKUP(B37,[1]电视清单!C:F,4,0))</f>
        <v>上海</v>
      </c>
      <c r="F37" s="2" t="s">
        <v>14</v>
      </c>
      <c r="G37" s="2" t="s">
        <v>15</v>
      </c>
      <c r="H37" s="2" t="s">
        <v>16</v>
      </c>
      <c r="I37" s="2" t="s">
        <v>17</v>
      </c>
      <c r="J37" s="2" t="s">
        <v>18</v>
      </c>
      <c r="K37" s="2" t="s">
        <v>19</v>
      </c>
      <c r="L37" s="2" t="s">
        <v>20</v>
      </c>
    </row>
    <row r="38" spans="1:12" x14ac:dyDescent="0.2">
      <c r="A38" s="2" t="s">
        <v>87</v>
      </c>
      <c r="B38" s="2" t="s">
        <v>88</v>
      </c>
      <c r="C38" s="2" t="str">
        <f>IF(B38="","",VLOOKUP(B38,[1]电视清单!C:F,2,0))</f>
        <v>CCTV3</v>
      </c>
      <c r="D38" s="2" t="str">
        <f>IF(B38="","",VLOOKUP(B38,[1]电视清单!C:F,3,0))</f>
        <v>CCTV3.png</v>
      </c>
      <c r="E38" s="2" t="str">
        <f>IF(B38="","",VLOOKUP(B38,[1]电视清单!C:F,4,0))</f>
        <v>央视</v>
      </c>
      <c r="F38" s="2" t="s">
        <v>14</v>
      </c>
      <c r="G38" s="2" t="s">
        <v>15</v>
      </c>
      <c r="H38" s="2" t="s">
        <v>16</v>
      </c>
      <c r="I38" s="2" t="s">
        <v>17</v>
      </c>
      <c r="J38" s="2" t="s">
        <v>18</v>
      </c>
      <c r="K38" s="2" t="s">
        <v>19</v>
      </c>
      <c r="L38" s="2" t="s">
        <v>20</v>
      </c>
    </row>
    <row r="39" spans="1:12" x14ac:dyDescent="0.2">
      <c r="A39" s="2" t="s">
        <v>89</v>
      </c>
      <c r="B39" s="2" t="s">
        <v>90</v>
      </c>
      <c r="C39" s="2" t="str">
        <f>IF(B39="","",VLOOKUP(B39,[1]电视清单!C:F,2,0))</f>
        <v>CCTV5</v>
      </c>
      <c r="D39" s="2" t="str">
        <f>IF(B39="","",VLOOKUP(B39,[1]电视清单!C:F,3,0))</f>
        <v>CCTV5.png</v>
      </c>
      <c r="E39" s="2" t="str">
        <f>IF(B39="","",VLOOKUP(B39,[1]电视清单!C:F,4,0))</f>
        <v>央视</v>
      </c>
      <c r="F39" s="2" t="s">
        <v>14</v>
      </c>
      <c r="G39" s="2" t="s">
        <v>15</v>
      </c>
      <c r="H39" s="2" t="s">
        <v>16</v>
      </c>
      <c r="I39" s="2" t="s">
        <v>17</v>
      </c>
      <c r="J39" s="2" t="s">
        <v>18</v>
      </c>
      <c r="K39" s="2" t="s">
        <v>19</v>
      </c>
      <c r="L39" s="2" t="s">
        <v>20</v>
      </c>
    </row>
    <row r="40" spans="1:12" x14ac:dyDescent="0.2">
      <c r="A40" s="2" t="s">
        <v>91</v>
      </c>
      <c r="B40" s="2" t="s">
        <v>92</v>
      </c>
      <c r="C40" s="2" t="str">
        <f>IF(B40="","",VLOOKUP(B40,[1]电视清单!C:F,2,0))</f>
        <v>CCTV6</v>
      </c>
      <c r="D40" s="2" t="str">
        <f>IF(B40="","",VLOOKUP(B40,[1]电视清单!C:F,3,0))</f>
        <v>CCTV6.png</v>
      </c>
      <c r="E40" s="2" t="str">
        <f>IF(B40="","",VLOOKUP(B40,[1]电视清单!C:F,4,0))</f>
        <v>央视</v>
      </c>
      <c r="F40" s="2" t="s">
        <v>14</v>
      </c>
      <c r="G40" s="2" t="s">
        <v>15</v>
      </c>
      <c r="H40" s="2" t="s">
        <v>16</v>
      </c>
      <c r="I40" s="2" t="s">
        <v>17</v>
      </c>
      <c r="J40" s="2" t="s">
        <v>18</v>
      </c>
      <c r="K40" s="2" t="s">
        <v>19</v>
      </c>
      <c r="L40" s="2" t="s">
        <v>20</v>
      </c>
    </row>
    <row r="41" spans="1:12" x14ac:dyDescent="0.2">
      <c r="A41" s="2" t="s">
        <v>93</v>
      </c>
      <c r="B41" s="2" t="s">
        <v>94</v>
      </c>
      <c r="C41" s="2" t="str">
        <f>IF(B41="","",VLOOKUP(B41,[1]电视清单!C:F,2,0))</f>
        <v>CCTV8</v>
      </c>
      <c r="D41" s="2" t="str">
        <f>IF(B41="","",VLOOKUP(B41,[1]电视清单!C:F,3,0))</f>
        <v>CCTV8.png</v>
      </c>
      <c r="E41" s="2" t="str">
        <f>IF(B41="","",VLOOKUP(B41,[1]电视清单!C:F,4,0))</f>
        <v>央视</v>
      </c>
      <c r="F41" s="2" t="s">
        <v>14</v>
      </c>
      <c r="G41" s="2" t="s">
        <v>15</v>
      </c>
      <c r="H41" s="2" t="s">
        <v>16</v>
      </c>
      <c r="I41" s="2" t="s">
        <v>17</v>
      </c>
      <c r="J41" s="2" t="s">
        <v>18</v>
      </c>
      <c r="K41" s="2" t="s">
        <v>19</v>
      </c>
      <c r="L41" s="2" t="s">
        <v>20</v>
      </c>
    </row>
    <row r="42" spans="1:12" x14ac:dyDescent="0.2">
      <c r="A42" s="2" t="s">
        <v>95</v>
      </c>
      <c r="B42" s="2" t="s">
        <v>96</v>
      </c>
      <c r="C42" s="2" t="str">
        <f>IF(B42="","",VLOOKUP(B42,[1]电视清单!C:F,2,0))</f>
        <v>CGTN</v>
      </c>
      <c r="D42" s="2" t="str">
        <f>IF(B42="","",VLOOKUP(B42,[1]电视清单!C:F,3,0))</f>
        <v>CGTN.png</v>
      </c>
      <c r="E42" s="2" t="str">
        <f>IF(B42="","",VLOOKUP(B42,[1]电视清单!C:F,4,0))</f>
        <v>国际</v>
      </c>
      <c r="F42" s="2" t="s">
        <v>14</v>
      </c>
      <c r="G42" s="2" t="s">
        <v>15</v>
      </c>
      <c r="H42" s="2" t="s">
        <v>16</v>
      </c>
      <c r="I42" s="2" t="s">
        <v>17</v>
      </c>
      <c r="J42" s="2" t="s">
        <v>18</v>
      </c>
      <c r="K42" s="2" t="s">
        <v>19</v>
      </c>
      <c r="L42" s="2" t="s">
        <v>20</v>
      </c>
    </row>
    <row r="43" spans="1:12" x14ac:dyDescent="0.2">
      <c r="A43" s="2" t="s">
        <v>97</v>
      </c>
      <c r="B43" s="2" t="s">
        <v>98</v>
      </c>
      <c r="C43" s="2" t="str">
        <f>IF(B43="","",VLOOKUP(B43,[1]电视清单!C:F,2,0))</f>
        <v>CCTV11</v>
      </c>
      <c r="D43" s="2" t="str">
        <f>IF(B43="","",VLOOKUP(B43,[1]电视清单!C:F,3,0))</f>
        <v>CCTV11.png</v>
      </c>
      <c r="E43" s="2" t="str">
        <f>IF(B43="","",VLOOKUP(B43,[1]电视清单!C:F,4,0))</f>
        <v>央视</v>
      </c>
      <c r="F43" s="2" t="s">
        <v>14</v>
      </c>
      <c r="G43" s="2" t="s">
        <v>15</v>
      </c>
      <c r="H43" s="2" t="s">
        <v>16</v>
      </c>
      <c r="I43" s="2" t="s">
        <v>17</v>
      </c>
      <c r="J43" s="2" t="s">
        <v>18</v>
      </c>
      <c r="K43" s="2" t="s">
        <v>19</v>
      </c>
      <c r="L43" s="2" t="s">
        <v>20</v>
      </c>
    </row>
    <row r="44" spans="1:12" x14ac:dyDescent="0.2">
      <c r="A44" s="2" t="s">
        <v>99</v>
      </c>
      <c r="B44" s="2" t="s">
        <v>100</v>
      </c>
      <c r="C44" s="2" t="str">
        <f>IF(B44="","",VLOOKUP(B44,[1]电视清单!C:F,2,0))</f>
        <v>CCTV12</v>
      </c>
      <c r="D44" s="2" t="str">
        <f>IF(B44="","",VLOOKUP(B44,[1]电视清单!C:F,3,0))</f>
        <v>CCTV12.png</v>
      </c>
      <c r="E44" s="2" t="str">
        <f>IF(B44="","",VLOOKUP(B44,[1]电视清单!C:F,4,0))</f>
        <v>央视</v>
      </c>
      <c r="F44" s="2" t="s">
        <v>14</v>
      </c>
      <c r="G44" s="2" t="s">
        <v>15</v>
      </c>
      <c r="H44" s="2" t="s">
        <v>16</v>
      </c>
      <c r="I44" s="2" t="s">
        <v>17</v>
      </c>
      <c r="J44" s="2" t="s">
        <v>18</v>
      </c>
      <c r="K44" s="2" t="s">
        <v>19</v>
      </c>
      <c r="L44" s="2" t="s">
        <v>20</v>
      </c>
    </row>
    <row r="45" spans="1:12" x14ac:dyDescent="0.2">
      <c r="A45" s="2" t="s">
        <v>101</v>
      </c>
      <c r="B45" s="2" t="s">
        <v>102</v>
      </c>
      <c r="C45" s="2" t="str">
        <f>IF(B45="","",VLOOKUP(B45,[1]电视清单!C:F,2,0))</f>
        <v>CCTV13</v>
      </c>
      <c r="D45" s="2" t="str">
        <f>IF(B45="","",VLOOKUP(B45,[1]电视清单!C:F,3,0))</f>
        <v>CCTV13.png</v>
      </c>
      <c r="E45" s="2" t="str">
        <f>IF(B45="","",VLOOKUP(B45,[1]电视清单!C:F,4,0))</f>
        <v>央视</v>
      </c>
      <c r="F45" s="2" t="s">
        <v>14</v>
      </c>
      <c r="G45" s="2" t="s">
        <v>15</v>
      </c>
      <c r="H45" s="2" t="s">
        <v>16</v>
      </c>
      <c r="I45" s="2" t="s">
        <v>17</v>
      </c>
      <c r="J45" s="2" t="s">
        <v>18</v>
      </c>
      <c r="K45" s="2" t="s">
        <v>19</v>
      </c>
      <c r="L45" s="2" t="s">
        <v>20</v>
      </c>
    </row>
    <row r="46" spans="1:12" x14ac:dyDescent="0.2">
      <c r="A46" s="2" t="s">
        <v>103</v>
      </c>
      <c r="B46" s="2" t="s">
        <v>104</v>
      </c>
      <c r="C46" s="2" t="str">
        <f>IF(B46="","",VLOOKUP(B46,[1]电视清单!C:F,2,0))</f>
        <v>CCTV14</v>
      </c>
      <c r="D46" s="2" t="str">
        <f>IF(B46="","",VLOOKUP(B46,[1]电视清单!C:F,3,0))</f>
        <v>CCTV14.png</v>
      </c>
      <c r="E46" s="2" t="str">
        <f>IF(B46="","",VLOOKUP(B46,[1]电视清单!C:F,4,0))</f>
        <v>央视</v>
      </c>
      <c r="F46" s="2" t="s">
        <v>14</v>
      </c>
      <c r="G46" s="2" t="s">
        <v>15</v>
      </c>
      <c r="H46" s="2" t="s">
        <v>16</v>
      </c>
      <c r="I46" s="2" t="s">
        <v>17</v>
      </c>
      <c r="J46" s="2" t="s">
        <v>18</v>
      </c>
      <c r="K46" s="2" t="s">
        <v>19</v>
      </c>
      <c r="L46" s="2" t="s">
        <v>20</v>
      </c>
    </row>
    <row r="47" spans="1:12" x14ac:dyDescent="0.2">
      <c r="A47" s="2" t="s">
        <v>105</v>
      </c>
      <c r="B47" s="2" t="s">
        <v>106</v>
      </c>
      <c r="C47" s="2" t="str">
        <f>IF(B47="","",VLOOKUP(B47,[1]电视清单!C:F,2,0))</f>
        <v>CCTV15</v>
      </c>
      <c r="D47" s="2" t="str">
        <f>IF(B47="","",VLOOKUP(B47,[1]电视清单!C:F,3,0))</f>
        <v>CCTV15.png</v>
      </c>
      <c r="E47" s="2" t="str">
        <f>IF(B47="","",VLOOKUP(B47,[1]电视清单!C:F,4,0))</f>
        <v>央视</v>
      </c>
      <c r="F47" s="2" t="s">
        <v>14</v>
      </c>
      <c r="G47" s="2" t="s">
        <v>15</v>
      </c>
      <c r="H47" s="2" t="s">
        <v>16</v>
      </c>
      <c r="I47" s="2" t="s">
        <v>17</v>
      </c>
      <c r="J47" s="2" t="s">
        <v>18</v>
      </c>
      <c r="K47" s="2" t="s">
        <v>19</v>
      </c>
      <c r="L47" s="2" t="s">
        <v>20</v>
      </c>
    </row>
    <row r="48" spans="1:12" x14ac:dyDescent="0.2">
      <c r="A48" s="2" t="s">
        <v>107</v>
      </c>
      <c r="B48" s="2" t="s">
        <v>108</v>
      </c>
      <c r="C48" s="2" t="str">
        <f>IF(B48="","",VLOOKUP(B48,[1]电视清单!C:F,2,0))</f>
        <v>新疆卫视</v>
      </c>
      <c r="D48" s="2" t="str">
        <f>IF(B48="","",VLOOKUP(B48,[1]电视清单!C:F,3,0))</f>
        <v>新疆卫视.png</v>
      </c>
      <c r="E48" s="2" t="str">
        <f>IF(B48="","",VLOOKUP(B48,[1]电视清单!C:F,4,0))</f>
        <v>卫视</v>
      </c>
      <c r="F48" s="2" t="s">
        <v>14</v>
      </c>
      <c r="G48" s="2" t="s">
        <v>15</v>
      </c>
      <c r="H48" s="2" t="s">
        <v>16</v>
      </c>
      <c r="I48" s="2" t="s">
        <v>17</v>
      </c>
      <c r="J48" s="2" t="s">
        <v>18</v>
      </c>
      <c r="K48" s="2" t="s">
        <v>19</v>
      </c>
      <c r="L48" s="2" t="s">
        <v>20</v>
      </c>
    </row>
    <row r="49" spans="1:12" x14ac:dyDescent="0.2">
      <c r="A49" s="2" t="s">
        <v>109</v>
      </c>
      <c r="B49" s="2" t="s">
        <v>110</v>
      </c>
      <c r="C49" s="2" t="str">
        <f>IF(B49="","",VLOOKUP(B49,[1]电视清单!C:F,2,0))</f>
        <v>兵团卫视</v>
      </c>
      <c r="D49" s="2" t="str">
        <f>IF(B49="","",VLOOKUP(B49,[1]电视清单!C:F,3,0))</f>
        <v>兵团卫视.png</v>
      </c>
      <c r="E49" s="2" t="str">
        <f>IF(B49="","",VLOOKUP(B49,[1]电视清单!C:F,4,0))</f>
        <v>卫视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18</v>
      </c>
      <c r="K49" s="2" t="s">
        <v>19</v>
      </c>
      <c r="L49" s="2" t="s">
        <v>20</v>
      </c>
    </row>
    <row r="50" spans="1:12" x14ac:dyDescent="0.2">
      <c r="A50" s="2" t="s">
        <v>111</v>
      </c>
      <c r="B50" s="2" t="s">
        <v>112</v>
      </c>
      <c r="C50" s="2" t="str">
        <f>IF(B50="","",VLOOKUP(B50,[1]电视清单!C:F,2,0))</f>
        <v>陕西卫视</v>
      </c>
      <c r="D50" s="2" t="str">
        <f>IF(B50="","",VLOOKUP(B50,[1]电视清单!C:F,3,0))</f>
        <v>陕西卫视.png</v>
      </c>
      <c r="E50" s="2" t="str">
        <f>IF(B50="","",VLOOKUP(B50,[1]电视清单!C:F,4,0))</f>
        <v>卫视</v>
      </c>
      <c r="F50" s="2" t="s">
        <v>14</v>
      </c>
      <c r="G50" s="2" t="s">
        <v>15</v>
      </c>
      <c r="H50" s="2" t="s">
        <v>16</v>
      </c>
      <c r="I50" s="2" t="s">
        <v>17</v>
      </c>
      <c r="J50" s="2" t="s">
        <v>18</v>
      </c>
      <c r="K50" s="2" t="s">
        <v>19</v>
      </c>
      <c r="L50" s="2" t="s">
        <v>20</v>
      </c>
    </row>
    <row r="51" spans="1:12" x14ac:dyDescent="0.2">
      <c r="A51" s="2" t="s">
        <v>113</v>
      </c>
      <c r="B51" s="2" t="s">
        <v>114</v>
      </c>
      <c r="C51" s="2" t="str">
        <f>IF(B51="","",VLOOKUP(B51,[1]电视清单!C:F,2,0))</f>
        <v>内蒙古卫视</v>
      </c>
      <c r="D51" s="2" t="str">
        <f>IF(B51="","",VLOOKUP(B51,[1]电视清单!C:F,3,0))</f>
        <v>内蒙古卫视.png</v>
      </c>
      <c r="E51" s="2" t="str">
        <f>IF(B51="","",VLOOKUP(B51,[1]电视清单!C:F,4,0))</f>
        <v>卫视</v>
      </c>
      <c r="F51" s="2" t="s">
        <v>39</v>
      </c>
      <c r="G51" s="2" t="s">
        <v>40</v>
      </c>
      <c r="H51" s="2" t="s">
        <v>16</v>
      </c>
      <c r="I51" s="2" t="s">
        <v>17</v>
      </c>
      <c r="J51" s="2" t="s">
        <v>18</v>
      </c>
      <c r="K51" s="2" t="s">
        <v>19</v>
      </c>
      <c r="L51" s="2" t="s">
        <v>20</v>
      </c>
    </row>
    <row r="52" spans="1:12" x14ac:dyDescent="0.2">
      <c r="A52" s="2" t="s">
        <v>115</v>
      </c>
      <c r="B52" s="2" t="s">
        <v>116</v>
      </c>
      <c r="C52" s="2" t="str">
        <f>IF(B52="","",VLOOKUP(B52,[1]电视清单!C:F,2,0))</f>
        <v>甘肃卫视</v>
      </c>
      <c r="D52" s="2" t="str">
        <f>IF(B52="","",VLOOKUP(B52,[1]电视清单!C:F,3,0))</f>
        <v>甘肃卫视.png</v>
      </c>
      <c r="E52" s="2" t="str">
        <f>IF(B52="","",VLOOKUP(B52,[1]电视清单!C:F,4,0))</f>
        <v>卫视</v>
      </c>
      <c r="F52" s="2" t="s">
        <v>14</v>
      </c>
      <c r="G52" s="2" t="s">
        <v>15</v>
      </c>
      <c r="H52" s="2" t="s">
        <v>16</v>
      </c>
      <c r="I52" s="2" t="s">
        <v>17</v>
      </c>
      <c r="J52" s="2" t="s">
        <v>18</v>
      </c>
      <c r="K52" s="2" t="s">
        <v>19</v>
      </c>
      <c r="L52" s="2" t="s">
        <v>20</v>
      </c>
    </row>
    <row r="53" spans="1:12" x14ac:dyDescent="0.2">
      <c r="A53" s="2" t="s">
        <v>117</v>
      </c>
      <c r="B53" s="2" t="s">
        <v>118</v>
      </c>
      <c r="C53" s="2" t="str">
        <f>IF(B53="","",VLOOKUP(B53,[1]电视清单!C:F,2,0))</f>
        <v>山西卫视</v>
      </c>
      <c r="D53" s="2" t="str">
        <f>IF(B53="","",VLOOKUP(B53,[1]电视清单!C:F,3,0))</f>
        <v>山西卫视.png</v>
      </c>
      <c r="E53" s="2" t="str">
        <f>IF(B53="","",VLOOKUP(B53,[1]电视清单!C:F,4,0))</f>
        <v>卫视</v>
      </c>
      <c r="F53" s="2" t="s">
        <v>39</v>
      </c>
      <c r="G53" s="2" t="s">
        <v>40</v>
      </c>
      <c r="H53" s="2" t="s">
        <v>16</v>
      </c>
      <c r="I53" s="2" t="s">
        <v>17</v>
      </c>
      <c r="J53" s="2" t="s">
        <v>18</v>
      </c>
      <c r="K53" s="2" t="s">
        <v>19</v>
      </c>
      <c r="L53" s="2" t="s">
        <v>20</v>
      </c>
    </row>
    <row r="54" spans="1:12" x14ac:dyDescent="0.2">
      <c r="A54" s="2" t="s">
        <v>119</v>
      </c>
      <c r="B54" s="2" t="s">
        <v>120</v>
      </c>
      <c r="C54" s="2" t="str">
        <f>IF(B54="","",VLOOKUP(B54,[1]电视清单!C:F,2,0))</f>
        <v>贵州卫视</v>
      </c>
      <c r="D54" s="2" t="str">
        <f>IF(B54="","",VLOOKUP(B54,[1]电视清单!C:F,3,0))</f>
        <v>贵州卫视.png</v>
      </c>
      <c r="E54" s="2" t="str">
        <f>IF(B54="","",VLOOKUP(B54,[1]电视清单!C:F,4,0))</f>
        <v>卫视</v>
      </c>
      <c r="F54" s="2" t="s">
        <v>14</v>
      </c>
      <c r="G54" s="2" t="s">
        <v>15</v>
      </c>
      <c r="H54" s="2" t="s">
        <v>16</v>
      </c>
      <c r="I54" s="2" t="s">
        <v>17</v>
      </c>
      <c r="J54" s="2" t="s">
        <v>18</v>
      </c>
      <c r="K54" s="2" t="s">
        <v>19</v>
      </c>
      <c r="L54" s="2" t="s">
        <v>20</v>
      </c>
    </row>
    <row r="55" spans="1:12" x14ac:dyDescent="0.2">
      <c r="A55" s="2" t="s">
        <v>121</v>
      </c>
      <c r="B55" s="2" t="s">
        <v>122</v>
      </c>
      <c r="C55" s="2" t="str">
        <f>IF(B55="","",VLOOKUP(B55,[1]电视清单!C:F,2,0))</f>
        <v>西藏卫视</v>
      </c>
      <c r="D55" s="2" t="str">
        <f>IF(B55="","",VLOOKUP(B55,[1]电视清单!C:F,3,0))</f>
        <v>西藏卫视.png</v>
      </c>
      <c r="E55" s="2" t="str">
        <f>IF(B55="","",VLOOKUP(B55,[1]电视清单!C:F,4,0))</f>
        <v>卫视</v>
      </c>
      <c r="F55" s="2" t="s">
        <v>14</v>
      </c>
      <c r="G55" s="2" t="s">
        <v>15</v>
      </c>
      <c r="H55" s="2" t="s">
        <v>16</v>
      </c>
      <c r="I55" s="2" t="s">
        <v>17</v>
      </c>
      <c r="J55" s="2" t="s">
        <v>18</v>
      </c>
      <c r="K55" s="2" t="s">
        <v>19</v>
      </c>
      <c r="L55" s="2" t="s">
        <v>20</v>
      </c>
    </row>
    <row r="56" spans="1:12" x14ac:dyDescent="0.2">
      <c r="A56" s="2" t="s">
        <v>123</v>
      </c>
      <c r="B56" s="2" t="s">
        <v>124</v>
      </c>
      <c r="C56" s="2" t="str">
        <f>IF(B56="","",VLOOKUP(B56,[1]电视清单!C:F,2,0))</f>
        <v>河南卫视</v>
      </c>
      <c r="D56" s="2" t="str">
        <f>IF(B56="","",VLOOKUP(B56,[1]电视清单!C:F,3,0))</f>
        <v>河南卫视.png</v>
      </c>
      <c r="E56" s="2" t="str">
        <f>IF(B56="","",VLOOKUP(B56,[1]电视清单!C:F,4,0))</f>
        <v>卫视</v>
      </c>
      <c r="F56" s="2" t="s">
        <v>14</v>
      </c>
      <c r="G56" s="2" t="s">
        <v>15</v>
      </c>
      <c r="H56" s="2" t="s">
        <v>16</v>
      </c>
      <c r="I56" s="2" t="s">
        <v>17</v>
      </c>
      <c r="J56" s="2" t="s">
        <v>18</v>
      </c>
      <c r="K56" s="2" t="s">
        <v>19</v>
      </c>
      <c r="L56" s="2" t="s">
        <v>20</v>
      </c>
    </row>
    <row r="57" spans="1:12" x14ac:dyDescent="0.2">
      <c r="A57" s="2" t="s">
        <v>125</v>
      </c>
      <c r="B57" s="2" t="s">
        <v>126</v>
      </c>
      <c r="C57" s="2" t="str">
        <f>IF(B57="","",VLOOKUP(B57,[1]电视清单!C:F,2,0))</f>
        <v>宁夏卫视</v>
      </c>
      <c r="D57" s="2" t="str">
        <f>IF(B57="","",VLOOKUP(B57,[1]电视清单!C:F,3,0))</f>
        <v>宁夏卫视.png</v>
      </c>
      <c r="E57" s="2" t="str">
        <f>IF(B57="","",VLOOKUP(B57,[1]电视清单!C:F,4,0))</f>
        <v>卫视</v>
      </c>
      <c r="F57" s="2" t="s">
        <v>14</v>
      </c>
      <c r="G57" s="2" t="s">
        <v>15</v>
      </c>
      <c r="H57" s="2" t="s">
        <v>16</v>
      </c>
      <c r="I57" s="2" t="s">
        <v>17</v>
      </c>
      <c r="J57" s="2" t="s">
        <v>18</v>
      </c>
      <c r="K57" s="2" t="s">
        <v>19</v>
      </c>
      <c r="L57" s="2" t="s">
        <v>20</v>
      </c>
    </row>
    <row r="58" spans="1:12" x14ac:dyDescent="0.2">
      <c r="A58" s="2" t="s">
        <v>127</v>
      </c>
      <c r="B58" s="2" t="s">
        <v>128</v>
      </c>
      <c r="C58" s="2" t="str">
        <f>IF(B58="","",VLOOKUP(B58,[1]电视清单!C:F,2,0))</f>
        <v>广东卫视</v>
      </c>
      <c r="D58" s="2" t="str">
        <f>IF(B58="","",VLOOKUP(B58,[1]电视清单!C:F,3,0))</f>
        <v>广东卫视.png</v>
      </c>
      <c r="E58" s="2" t="str">
        <f>IF(B58="","",VLOOKUP(B58,[1]电视清单!C:F,4,0))</f>
        <v>卫视</v>
      </c>
      <c r="F58" s="2" t="s">
        <v>14</v>
      </c>
      <c r="G58" s="2" t="s">
        <v>15</v>
      </c>
      <c r="H58" s="2" t="s">
        <v>16</v>
      </c>
      <c r="I58" s="2" t="s">
        <v>17</v>
      </c>
      <c r="J58" s="2" t="s">
        <v>18</v>
      </c>
      <c r="K58" s="2" t="s">
        <v>19</v>
      </c>
      <c r="L58" s="2" t="s">
        <v>20</v>
      </c>
    </row>
    <row r="59" spans="1:12" x14ac:dyDescent="0.2">
      <c r="A59" s="2" t="s">
        <v>129</v>
      </c>
      <c r="B59" s="2" t="s">
        <v>130</v>
      </c>
      <c r="C59" s="2" t="str">
        <f>IF(B59="","",VLOOKUP(B59,[1]电视清单!C:F,2,0))</f>
        <v>海南卫视</v>
      </c>
      <c r="D59" s="2" t="str">
        <f>IF(B59="","",VLOOKUP(B59,[1]电视清单!C:F,3,0))</f>
        <v>海南卫视.png</v>
      </c>
      <c r="E59" s="2" t="str">
        <f>IF(B59="","",VLOOKUP(B59,[1]电视清单!C:F,4,0))</f>
        <v>卫视</v>
      </c>
      <c r="F59" s="2" t="s">
        <v>14</v>
      </c>
      <c r="G59" s="2" t="s">
        <v>15</v>
      </c>
      <c r="H59" s="2" t="s">
        <v>16</v>
      </c>
      <c r="I59" s="2" t="s">
        <v>17</v>
      </c>
      <c r="J59" s="2" t="s">
        <v>18</v>
      </c>
      <c r="K59" s="2" t="s">
        <v>19</v>
      </c>
      <c r="L59" s="2" t="s">
        <v>20</v>
      </c>
    </row>
    <row r="60" spans="1:12" x14ac:dyDescent="0.2">
      <c r="A60" s="2" t="s">
        <v>131</v>
      </c>
      <c r="B60" s="2" t="s">
        <v>132</v>
      </c>
      <c r="C60" s="2" t="str">
        <f>IF(B60="","",VLOOKUP(B60,[1]电视清单!C:F,2,0))</f>
        <v>吉林卫视</v>
      </c>
      <c r="D60" s="2" t="str">
        <f>IF(B60="","",VLOOKUP(B60,[1]电视清单!C:F,3,0))</f>
        <v>吉林卫视.png</v>
      </c>
      <c r="E60" s="2" t="str">
        <f>IF(B60="","",VLOOKUP(B60,[1]电视清单!C:F,4,0))</f>
        <v>卫视</v>
      </c>
      <c r="F60" s="2" t="s">
        <v>14</v>
      </c>
      <c r="G60" s="2" t="s">
        <v>15</v>
      </c>
      <c r="H60" s="2" t="s">
        <v>16</v>
      </c>
      <c r="I60" s="2" t="s">
        <v>17</v>
      </c>
      <c r="J60" s="2" t="s">
        <v>18</v>
      </c>
      <c r="K60" s="2" t="s">
        <v>19</v>
      </c>
      <c r="L60" s="2" t="s">
        <v>20</v>
      </c>
    </row>
    <row r="61" spans="1:12" x14ac:dyDescent="0.2">
      <c r="A61" s="2" t="s">
        <v>133</v>
      </c>
      <c r="B61" s="2" t="s">
        <v>134</v>
      </c>
      <c r="C61" s="2" t="str">
        <f>IF(B61="","",VLOOKUP(B61,[1]电视清单!C:F,2,0))</f>
        <v>江苏卫视</v>
      </c>
      <c r="D61" s="2" t="str">
        <f>IF(B61="","",VLOOKUP(B61,[1]电视清单!C:F,3,0))</f>
        <v>江苏卫视.png</v>
      </c>
      <c r="E61" s="2" t="str">
        <f>IF(B61="","",VLOOKUP(B61,[1]电视清单!C:F,4,0))</f>
        <v>卫视</v>
      </c>
      <c r="F61" s="2" t="s">
        <v>14</v>
      </c>
      <c r="G61" s="2" t="s">
        <v>15</v>
      </c>
      <c r="H61" s="2" t="s">
        <v>16</v>
      </c>
      <c r="I61" s="2" t="s">
        <v>17</v>
      </c>
      <c r="J61" s="2" t="s">
        <v>18</v>
      </c>
      <c r="K61" s="2" t="s">
        <v>19</v>
      </c>
      <c r="L61" s="2" t="s">
        <v>20</v>
      </c>
    </row>
    <row r="62" spans="1:12" x14ac:dyDescent="0.2">
      <c r="A62" s="2" t="s">
        <v>135</v>
      </c>
      <c r="B62" s="2" t="s">
        <v>136</v>
      </c>
      <c r="C62" s="2" t="str">
        <f>IF(B62="","",VLOOKUP(B62,[1]电视清单!C:F,2,0))</f>
        <v>天津卫视</v>
      </c>
      <c r="D62" s="2" t="str">
        <f>IF(B62="","",VLOOKUP(B62,[1]电视清单!C:F,3,0))</f>
        <v>天津卫视.png</v>
      </c>
      <c r="E62" s="2" t="str">
        <f>IF(B62="","",VLOOKUP(B62,[1]电视清单!C:F,4,0))</f>
        <v>卫视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18</v>
      </c>
      <c r="K62" s="2" t="s">
        <v>19</v>
      </c>
      <c r="L62" s="2" t="s">
        <v>20</v>
      </c>
    </row>
    <row r="63" spans="1:12" x14ac:dyDescent="0.2">
      <c r="A63" s="2" t="s">
        <v>137</v>
      </c>
      <c r="B63" s="2" t="s">
        <v>138</v>
      </c>
      <c r="C63" s="2" t="str">
        <f>IF(B63="","",VLOOKUP(B63,[1]电视清单!C:F,2,0))</f>
        <v>江西卫视</v>
      </c>
      <c r="D63" s="2" t="str">
        <f>IF(B63="","",VLOOKUP(B63,[1]电视清单!C:F,3,0))</f>
        <v>江西卫视.png</v>
      </c>
      <c r="E63" s="2" t="str">
        <f>IF(B63="","",VLOOKUP(B63,[1]电视清单!C:F,4,0))</f>
        <v>卫视</v>
      </c>
      <c r="F63" s="2" t="s">
        <v>14</v>
      </c>
      <c r="G63" s="2" t="s">
        <v>15</v>
      </c>
      <c r="H63" s="2" t="s">
        <v>16</v>
      </c>
      <c r="I63" s="2" t="s">
        <v>17</v>
      </c>
      <c r="J63" s="2" t="s">
        <v>18</v>
      </c>
      <c r="K63" s="2" t="s">
        <v>19</v>
      </c>
      <c r="L63" s="2" t="s">
        <v>20</v>
      </c>
    </row>
    <row r="64" spans="1:12" x14ac:dyDescent="0.2">
      <c r="A64" s="2" t="s">
        <v>139</v>
      </c>
      <c r="B64" s="2" t="s">
        <v>140</v>
      </c>
      <c r="C64" s="2" t="str">
        <f>IF(B64="","",VLOOKUP(B64,[1]电视清单!C:F,2,0))</f>
        <v>河北卫视</v>
      </c>
      <c r="D64" s="2" t="str">
        <f>IF(B64="","",VLOOKUP(B64,[1]电视清单!C:F,3,0))</f>
        <v>河北卫视.png</v>
      </c>
      <c r="E64" s="2" t="str">
        <f>IF(B64="","",VLOOKUP(B64,[1]电视清单!C:F,4,0))</f>
        <v>卫视</v>
      </c>
      <c r="F64" s="2" t="s">
        <v>14</v>
      </c>
      <c r="G64" s="2" t="s">
        <v>15</v>
      </c>
      <c r="H64" s="2" t="s">
        <v>16</v>
      </c>
      <c r="I64" s="2" t="s">
        <v>17</v>
      </c>
      <c r="J64" s="2" t="s">
        <v>18</v>
      </c>
      <c r="K64" s="2" t="s">
        <v>19</v>
      </c>
      <c r="L64" s="2" t="s">
        <v>20</v>
      </c>
    </row>
    <row r="65" spans="1:12" x14ac:dyDescent="0.2">
      <c r="A65" s="2" t="s">
        <v>141</v>
      </c>
      <c r="B65" s="2" t="s">
        <v>142</v>
      </c>
      <c r="C65" s="2" t="str">
        <f>IF(B65="","",VLOOKUP(B65,[1]电视清单!C:F,2,0))</f>
        <v>青海卫视</v>
      </c>
      <c r="D65" s="2" t="str">
        <f>IF(B65="","",VLOOKUP(B65,[1]电视清单!C:F,3,0))</f>
        <v>青海卫视.png</v>
      </c>
      <c r="E65" s="2" t="str">
        <f>IF(B65="","",VLOOKUP(B65,[1]电视清单!C:F,4,0))</f>
        <v>卫视</v>
      </c>
      <c r="F65" s="2" t="s">
        <v>14</v>
      </c>
      <c r="G65" s="2" t="s">
        <v>15</v>
      </c>
      <c r="H65" s="2" t="s">
        <v>16</v>
      </c>
      <c r="I65" s="2" t="s">
        <v>17</v>
      </c>
      <c r="J65" s="2" t="s">
        <v>18</v>
      </c>
      <c r="K65" s="2" t="s">
        <v>19</v>
      </c>
      <c r="L65" s="2" t="s">
        <v>20</v>
      </c>
    </row>
    <row r="66" spans="1:12" x14ac:dyDescent="0.2">
      <c r="A66" s="2" t="s">
        <v>143</v>
      </c>
      <c r="B66" s="2" t="s">
        <v>144</v>
      </c>
      <c r="C66" s="2" t="str">
        <f>IF(B66="","",VLOOKUP(B66,[1]电视清单!C:F,2,0))</f>
        <v>湖北卫视</v>
      </c>
      <c r="D66" s="2" t="str">
        <f>IF(B66="","",VLOOKUP(B66,[1]电视清单!C:F,3,0))</f>
        <v>湖北卫视.png</v>
      </c>
      <c r="E66" s="2" t="str">
        <f>IF(B66="","",VLOOKUP(B66,[1]电视清单!C:F,4,0))</f>
        <v>卫视</v>
      </c>
      <c r="F66" s="2" t="s">
        <v>14</v>
      </c>
      <c r="G66" s="2" t="s">
        <v>15</v>
      </c>
      <c r="H66" s="2" t="s">
        <v>16</v>
      </c>
      <c r="I66" s="2" t="s">
        <v>17</v>
      </c>
      <c r="J66" s="2" t="s">
        <v>18</v>
      </c>
      <c r="K66" s="2" t="s">
        <v>19</v>
      </c>
      <c r="L66" s="2" t="s">
        <v>20</v>
      </c>
    </row>
    <row r="67" spans="1:12" x14ac:dyDescent="0.2">
      <c r="A67" s="2" t="s">
        <v>145</v>
      </c>
      <c r="B67" s="2" t="s">
        <v>146</v>
      </c>
      <c r="C67" s="2" t="str">
        <f>IF(B67="","",VLOOKUP(B67,[1]电视清单!C:F,2,0))</f>
        <v>辽宁卫视</v>
      </c>
      <c r="D67" s="2" t="str">
        <f>IF(B67="","",VLOOKUP(B67,[1]电视清单!C:F,3,0))</f>
        <v>辽宁卫视.png</v>
      </c>
      <c r="E67" s="2" t="str">
        <f>IF(B67="","",VLOOKUP(B67,[1]电视清单!C:F,4,0))</f>
        <v>卫视</v>
      </c>
      <c r="F67" s="2" t="s">
        <v>14</v>
      </c>
      <c r="G67" s="2" t="s">
        <v>15</v>
      </c>
      <c r="H67" s="2" t="s">
        <v>16</v>
      </c>
      <c r="I67" s="2" t="s">
        <v>17</v>
      </c>
      <c r="J67" s="2" t="s">
        <v>18</v>
      </c>
      <c r="K67" s="2" t="s">
        <v>19</v>
      </c>
      <c r="L67" s="2" t="s">
        <v>20</v>
      </c>
    </row>
    <row r="68" spans="1:12" x14ac:dyDescent="0.2">
      <c r="A68" s="2" t="s">
        <v>147</v>
      </c>
      <c r="B68" s="2" t="s">
        <v>148</v>
      </c>
      <c r="C68" s="2" t="str">
        <f>IF(B68="","",VLOOKUP(B68,[1]电视清单!C:F,2,0))</f>
        <v>安徽卫视</v>
      </c>
      <c r="D68" s="2" t="str">
        <f>IF(B68="","",VLOOKUP(B68,[1]电视清单!C:F,3,0))</f>
        <v>安徽卫视.png</v>
      </c>
      <c r="E68" s="2" t="str">
        <f>IF(B68="","",VLOOKUP(B68,[1]电视清单!C:F,4,0))</f>
        <v>卫视</v>
      </c>
      <c r="F68" s="2" t="s">
        <v>14</v>
      </c>
      <c r="G68" s="2" t="s">
        <v>15</v>
      </c>
      <c r="H68" s="2" t="s">
        <v>16</v>
      </c>
      <c r="I68" s="2" t="s">
        <v>17</v>
      </c>
      <c r="J68" s="2" t="s">
        <v>18</v>
      </c>
      <c r="K68" s="2" t="s">
        <v>19</v>
      </c>
      <c r="L68" s="2" t="s">
        <v>20</v>
      </c>
    </row>
    <row r="69" spans="1:12" x14ac:dyDescent="0.2">
      <c r="A69" s="2" t="s">
        <v>149</v>
      </c>
      <c r="B69" s="2" t="s">
        <v>150</v>
      </c>
      <c r="C69" s="2" t="str">
        <f>IF(B69="","",VLOOKUP(B69,[1]电视清单!C:F,2,0))</f>
        <v>北京卫视</v>
      </c>
      <c r="D69" s="2" t="str">
        <f>IF(B69="","",VLOOKUP(B69,[1]电视清单!C:F,3,0))</f>
        <v>北京卫视.png</v>
      </c>
      <c r="E69" s="2" t="str">
        <f>IF(B69="","",VLOOKUP(B69,[1]电视清单!C:F,4,0))</f>
        <v>卫视</v>
      </c>
      <c r="F69" s="2" t="s">
        <v>14</v>
      </c>
      <c r="G69" s="2" t="s">
        <v>15</v>
      </c>
      <c r="H69" s="2" t="s">
        <v>16</v>
      </c>
      <c r="I69" s="2" t="s">
        <v>17</v>
      </c>
      <c r="J69" s="2" t="s">
        <v>18</v>
      </c>
      <c r="K69" s="2" t="s">
        <v>19</v>
      </c>
      <c r="L69" s="2" t="s">
        <v>20</v>
      </c>
    </row>
    <row r="70" spans="1:12" x14ac:dyDescent="0.2">
      <c r="A70" s="2" t="s">
        <v>151</v>
      </c>
      <c r="B70" s="2" t="s">
        <v>152</v>
      </c>
      <c r="C70" s="2" t="str">
        <f>IF(B70="","",VLOOKUP(B70,[1]电视清单!C:F,2,0))</f>
        <v>重庆卫视</v>
      </c>
      <c r="D70" s="2" t="str">
        <f>IF(B70="","",VLOOKUP(B70,[1]电视清单!C:F,3,0))</f>
        <v>重庆卫视.png</v>
      </c>
      <c r="E70" s="2" t="str">
        <f>IF(B70="","",VLOOKUP(B70,[1]电视清单!C:F,4,0))</f>
        <v>卫视</v>
      </c>
      <c r="F70" s="2" t="s">
        <v>14</v>
      </c>
      <c r="G70" s="2" t="s">
        <v>15</v>
      </c>
      <c r="H70" s="2" t="s">
        <v>16</v>
      </c>
      <c r="I70" s="2" t="s">
        <v>17</v>
      </c>
      <c r="J70" s="2" t="s">
        <v>18</v>
      </c>
      <c r="K70" s="2" t="s">
        <v>19</v>
      </c>
      <c r="L70" s="2" t="s">
        <v>20</v>
      </c>
    </row>
    <row r="71" spans="1:12" x14ac:dyDescent="0.2">
      <c r="A71" s="2" t="s">
        <v>153</v>
      </c>
      <c r="B71" s="2" t="s">
        <v>154</v>
      </c>
      <c r="C71" s="2" t="str">
        <f>IF(B71="","",VLOOKUP(B71,[1]电视清单!C:F,2,0))</f>
        <v>湖南卫视</v>
      </c>
      <c r="D71" s="2" t="str">
        <f>IF(B71="","",VLOOKUP(B71,[1]电视清单!C:F,3,0))</f>
        <v>湖南卫视.png</v>
      </c>
      <c r="E71" s="2" t="str">
        <f>IF(B71="","",VLOOKUP(B71,[1]电视清单!C:F,4,0))</f>
        <v>卫视</v>
      </c>
      <c r="F71" s="2" t="s">
        <v>14</v>
      </c>
      <c r="G71" s="2" t="s">
        <v>15</v>
      </c>
      <c r="H71" s="2" t="s">
        <v>16</v>
      </c>
      <c r="I71" s="2" t="s">
        <v>17</v>
      </c>
      <c r="J71" s="2" t="s">
        <v>18</v>
      </c>
      <c r="K71" s="2" t="s">
        <v>19</v>
      </c>
      <c r="L71" s="2" t="s">
        <v>20</v>
      </c>
    </row>
    <row r="72" spans="1:12" x14ac:dyDescent="0.2">
      <c r="A72" s="2" t="s">
        <v>155</v>
      </c>
      <c r="B72" s="2" t="s">
        <v>156</v>
      </c>
      <c r="C72" s="2" t="str">
        <f>IF(B72="","",VLOOKUP(B72,[1]电视清单!C:F,2,0))</f>
        <v>黑龙江卫视</v>
      </c>
      <c r="D72" s="2" t="str">
        <f>IF(B72="","",VLOOKUP(B72,[1]电视清单!C:F,3,0))</f>
        <v>黑龙江卫视.png</v>
      </c>
      <c r="E72" s="2" t="str">
        <f>IF(B72="","",VLOOKUP(B72,[1]电视清单!C:F,4,0))</f>
        <v>卫视</v>
      </c>
      <c r="F72" s="2" t="s">
        <v>14</v>
      </c>
      <c r="G72" s="2" t="s">
        <v>15</v>
      </c>
      <c r="H72" s="2" t="s">
        <v>16</v>
      </c>
      <c r="I72" s="2" t="s">
        <v>17</v>
      </c>
      <c r="J72" s="2" t="s">
        <v>18</v>
      </c>
      <c r="K72" s="2" t="s">
        <v>19</v>
      </c>
      <c r="L72" s="2" t="s">
        <v>20</v>
      </c>
    </row>
    <row r="73" spans="1:12" x14ac:dyDescent="0.2">
      <c r="A73" s="2" t="s">
        <v>157</v>
      </c>
      <c r="B73" s="2" t="s">
        <v>158</v>
      </c>
      <c r="C73" s="2" t="str">
        <f>IF(B73="","",VLOOKUP(B73,[1]电视清单!C:F,2,0))</f>
        <v>四川卫视</v>
      </c>
      <c r="D73" s="2" t="str">
        <f>IF(B73="","",VLOOKUP(B73,[1]电视清单!C:F,3,0))</f>
        <v>四川卫视.png</v>
      </c>
      <c r="E73" s="2" t="str">
        <f>IF(B73="","",VLOOKUP(B73,[1]电视清单!C:F,4,0))</f>
        <v>卫视</v>
      </c>
      <c r="F73" s="2" t="s">
        <v>14</v>
      </c>
      <c r="G73" s="2" t="s">
        <v>15</v>
      </c>
      <c r="H73" s="2" t="s">
        <v>16</v>
      </c>
      <c r="I73" s="2" t="s">
        <v>17</v>
      </c>
      <c r="J73" s="2" t="s">
        <v>18</v>
      </c>
      <c r="K73" s="2" t="s">
        <v>19</v>
      </c>
      <c r="L73" s="2" t="s">
        <v>20</v>
      </c>
    </row>
    <row r="74" spans="1:12" x14ac:dyDescent="0.2">
      <c r="A74" s="2" t="s">
        <v>159</v>
      </c>
      <c r="B74" s="2" t="s">
        <v>160</v>
      </c>
      <c r="C74" s="2" t="str">
        <f>IF(B74="","",VLOOKUP(B74,[1]电视清单!C:F,2,0))</f>
        <v>东南卫视</v>
      </c>
      <c r="D74" s="2" t="str">
        <f>IF(B74="","",VLOOKUP(B74,[1]电视清单!C:F,3,0))</f>
        <v>东南卫视.png</v>
      </c>
      <c r="E74" s="2" t="str">
        <f>IF(B74="","",VLOOKUP(B74,[1]电视清单!C:F,4,0))</f>
        <v>卫视</v>
      </c>
      <c r="F74" s="2" t="s">
        <v>14</v>
      </c>
      <c r="G74" s="2" t="s">
        <v>15</v>
      </c>
      <c r="H74" s="2" t="s">
        <v>16</v>
      </c>
      <c r="I74" s="2" t="s">
        <v>17</v>
      </c>
      <c r="J74" s="2" t="s">
        <v>18</v>
      </c>
      <c r="K74" s="2" t="s">
        <v>19</v>
      </c>
      <c r="L74" s="2" t="s">
        <v>20</v>
      </c>
    </row>
    <row r="75" spans="1:12" x14ac:dyDescent="0.2">
      <c r="A75" s="2" t="s">
        <v>161</v>
      </c>
      <c r="B75" s="2" t="s">
        <v>162</v>
      </c>
      <c r="C75" s="2" t="str">
        <f>IF(B75="","",VLOOKUP(B75,[1]电视清单!C:F,2,0))</f>
        <v>山东卫视</v>
      </c>
      <c r="D75" s="2" t="str">
        <f>IF(B75="","",VLOOKUP(B75,[1]电视清单!C:F,3,0))</f>
        <v>山东卫视.png</v>
      </c>
      <c r="E75" s="2" t="str">
        <f>IF(B75="","",VLOOKUP(B75,[1]电视清单!C:F,4,0))</f>
        <v>卫视</v>
      </c>
      <c r="F75" s="2" t="s">
        <v>14</v>
      </c>
      <c r="G75" s="2" t="s">
        <v>15</v>
      </c>
      <c r="H75" s="2" t="s">
        <v>16</v>
      </c>
      <c r="I75" s="2" t="s">
        <v>17</v>
      </c>
      <c r="J75" s="2" t="s">
        <v>18</v>
      </c>
      <c r="K75" s="2" t="s">
        <v>19</v>
      </c>
      <c r="L75" s="2" t="s">
        <v>20</v>
      </c>
    </row>
    <row r="76" spans="1:12" x14ac:dyDescent="0.2">
      <c r="A76" s="2" t="s">
        <v>163</v>
      </c>
      <c r="B76" s="2" t="s">
        <v>164</v>
      </c>
      <c r="C76" s="2" t="str">
        <f>IF(B76="","",VLOOKUP(B76,[1]电视清单!C:F,2,0))</f>
        <v>云南卫视</v>
      </c>
      <c r="D76" s="2" t="str">
        <f>IF(B76="","",VLOOKUP(B76,[1]电视清单!C:F,3,0))</f>
        <v>云南卫视.png</v>
      </c>
      <c r="E76" s="2" t="str">
        <f>IF(B76="","",VLOOKUP(B76,[1]电视清单!C:F,4,0))</f>
        <v>卫视</v>
      </c>
      <c r="F76" s="2" t="s">
        <v>14</v>
      </c>
      <c r="G76" s="2" t="s">
        <v>15</v>
      </c>
      <c r="H76" s="2" t="s">
        <v>16</v>
      </c>
      <c r="I76" s="2" t="s">
        <v>17</v>
      </c>
      <c r="J76" s="2" t="s">
        <v>18</v>
      </c>
      <c r="K76" s="2" t="s">
        <v>19</v>
      </c>
      <c r="L76" s="2" t="s">
        <v>20</v>
      </c>
    </row>
    <row r="77" spans="1:12" x14ac:dyDescent="0.2">
      <c r="A77" s="2" t="s">
        <v>165</v>
      </c>
      <c r="B77" s="2" t="s">
        <v>166</v>
      </c>
      <c r="C77" s="2" t="str">
        <f>IF(B77="","",VLOOKUP(B77,[1]电视清单!C:F,2,0))</f>
        <v>广西卫视</v>
      </c>
      <c r="D77" s="2" t="str">
        <f>IF(B77="","",VLOOKUP(B77,[1]电视清单!C:F,3,0))</f>
        <v>广西卫视.png</v>
      </c>
      <c r="E77" s="2" t="str">
        <f>IF(B77="","",VLOOKUP(B77,[1]电视清单!C:F,4,0))</f>
        <v>卫视</v>
      </c>
      <c r="F77" s="2" t="s">
        <v>14</v>
      </c>
      <c r="G77" s="2" t="s">
        <v>15</v>
      </c>
      <c r="H77" s="2" t="s">
        <v>16</v>
      </c>
      <c r="I77" s="2" t="s">
        <v>17</v>
      </c>
      <c r="J77" s="2" t="s">
        <v>18</v>
      </c>
      <c r="K77" s="2" t="s">
        <v>19</v>
      </c>
      <c r="L77" s="2" t="s">
        <v>20</v>
      </c>
    </row>
    <row r="78" spans="1:12" x14ac:dyDescent="0.2">
      <c r="A78" s="2" t="s">
        <v>167</v>
      </c>
      <c r="B78" s="2" t="s">
        <v>168</v>
      </c>
      <c r="C78" s="2" t="str">
        <f>IF(B78="","",VLOOKUP(B78,[1]电视清单!C:F,2,0))</f>
        <v>深圳卫视</v>
      </c>
      <c r="D78" s="2" t="str">
        <f>IF(B78="","",VLOOKUP(B78,[1]电视清单!C:F,3,0))</f>
        <v>深圳卫视.png</v>
      </c>
      <c r="E78" s="2" t="str">
        <f>IF(B78="","",VLOOKUP(B78,[1]电视清单!C:F,4,0))</f>
        <v>卫视</v>
      </c>
      <c r="F78" s="2" t="s">
        <v>14</v>
      </c>
      <c r="G78" s="2" t="s">
        <v>15</v>
      </c>
      <c r="H78" s="2" t="s">
        <v>16</v>
      </c>
      <c r="I78" s="2" t="s">
        <v>17</v>
      </c>
      <c r="J78" s="2" t="s">
        <v>18</v>
      </c>
      <c r="K78" s="2" t="s">
        <v>19</v>
      </c>
      <c r="L78" s="2" t="s">
        <v>20</v>
      </c>
    </row>
    <row r="79" spans="1:12" x14ac:dyDescent="0.2">
      <c r="A79" s="2" t="s">
        <v>169</v>
      </c>
      <c r="B79" s="2" t="s">
        <v>170</v>
      </c>
      <c r="C79" s="2" t="str">
        <f>IF(B79="","",VLOOKUP(B79,[1]电视清单!C:F,2,0))</f>
        <v>金鹰卡通</v>
      </c>
      <c r="D79" s="2" t="str">
        <f>IF(B79="","",VLOOKUP(B79,[1]电视清单!C:F,3,0))</f>
        <v>金鹰卡通.png</v>
      </c>
      <c r="E79" s="2" t="str">
        <f>IF(B79="","",VLOOKUP(B79,[1]电视清单!C:F,4,0))</f>
        <v>卫视</v>
      </c>
      <c r="F79" s="2" t="s">
        <v>14</v>
      </c>
      <c r="G79" s="2" t="s">
        <v>15</v>
      </c>
      <c r="H79" s="2" t="s">
        <v>16</v>
      </c>
      <c r="I79" s="2" t="s">
        <v>17</v>
      </c>
      <c r="J79" s="2" t="s">
        <v>18</v>
      </c>
      <c r="K79" s="2" t="s">
        <v>19</v>
      </c>
      <c r="L79" s="2" t="s">
        <v>20</v>
      </c>
    </row>
    <row r="80" spans="1:12" x14ac:dyDescent="0.2">
      <c r="A80" s="2" t="s">
        <v>171</v>
      </c>
      <c r="B80" s="2" t="s">
        <v>172</v>
      </c>
      <c r="C80" s="2" t="str">
        <f>IF(B80="","",VLOOKUP(B80,[1]电视清单!C:F,2,0))</f>
        <v>CETV1</v>
      </c>
      <c r="D80" s="2" t="str">
        <f>IF(B80="","",VLOOKUP(B80,[1]电视清单!C:F,3,0))</f>
        <v>CETV1.png</v>
      </c>
      <c r="E80" s="2" t="str">
        <f>IF(B80="","",VLOOKUP(B80,[1]电视清单!C:F,4,0))</f>
        <v>卫视</v>
      </c>
      <c r="F80" s="2" t="s">
        <v>14</v>
      </c>
      <c r="G80" s="2" t="s">
        <v>15</v>
      </c>
      <c r="H80" s="2" t="s">
        <v>16</v>
      </c>
      <c r="I80" s="2" t="s">
        <v>17</v>
      </c>
      <c r="J80" s="2" t="s">
        <v>18</v>
      </c>
      <c r="K80" s="2" t="s">
        <v>19</v>
      </c>
      <c r="L80" s="2" t="s">
        <v>20</v>
      </c>
    </row>
    <row r="81" spans="1:12" x14ac:dyDescent="0.2">
      <c r="A81" s="2" t="s">
        <v>173</v>
      </c>
      <c r="B81" s="2" t="s">
        <v>174</v>
      </c>
      <c r="C81" s="2" t="str">
        <f>IF(B81="","",VLOOKUP(B81,[1]电视清单!C:F,2,0))</f>
        <v>哈哈炫动</v>
      </c>
      <c r="D81" s="2" t="str">
        <f>IF(B81="","",VLOOKUP(B81,[1]电视清单!C:F,3,0))</f>
        <v>哈哈炫动.png</v>
      </c>
      <c r="E81" s="2" t="str">
        <f>IF(B81="","",VLOOKUP(B81,[1]电视清单!C:F,4,0))</f>
        <v>卫视</v>
      </c>
      <c r="F81" s="2" t="s">
        <v>14</v>
      </c>
      <c r="G81" s="2" t="s">
        <v>15</v>
      </c>
      <c r="H81" s="2" t="s">
        <v>16</v>
      </c>
      <c r="I81" s="2" t="s">
        <v>17</v>
      </c>
      <c r="J81" s="2" t="s">
        <v>18</v>
      </c>
      <c r="K81" s="2" t="s">
        <v>19</v>
      </c>
      <c r="L81" s="2" t="s">
        <v>20</v>
      </c>
    </row>
    <row r="82" spans="1:12" x14ac:dyDescent="0.2">
      <c r="A82" s="2" t="s">
        <v>175</v>
      </c>
      <c r="B82" s="2" t="s">
        <v>176</v>
      </c>
      <c r="C82" s="2" t="str">
        <f>IF(B82="","",VLOOKUP(B82,[1]电视清单!C:F,2,0))</f>
        <v>金色学堂</v>
      </c>
      <c r="D82" s="2" t="str">
        <f>IF(B82="","",VLOOKUP(B82,[1]电视清单!C:F,3,0))</f>
        <v>金色学堂.png</v>
      </c>
      <c r="E82" s="2" t="str">
        <f>IF(B82="","",VLOOKUP(B82,[1]电视清单!C:F,4,0))</f>
        <v>付费</v>
      </c>
      <c r="F82" s="2" t="s">
        <v>14</v>
      </c>
      <c r="G82" s="2" t="s">
        <v>15</v>
      </c>
      <c r="H82" s="2" t="s">
        <v>16</v>
      </c>
      <c r="I82" s="2" t="s">
        <v>17</v>
      </c>
      <c r="J82" s="2" t="s">
        <v>18</v>
      </c>
      <c r="K82" s="2" t="s">
        <v>19</v>
      </c>
      <c r="L82" s="2" t="s">
        <v>20</v>
      </c>
    </row>
    <row r="83" spans="1:12" x14ac:dyDescent="0.2">
      <c r="A83" s="2" t="s">
        <v>177</v>
      </c>
      <c r="B83" s="2" t="s">
        <v>178</v>
      </c>
      <c r="C83" s="2" t="str">
        <f>IF(B83="","",VLOOKUP(B83,[1]电视清单!C:F,2,0))</f>
        <v>都市剧场</v>
      </c>
      <c r="D83" s="2" t="str">
        <f>IF(B83="","",VLOOKUP(B83,[1]电视清单!C:F,3,0))</f>
        <v>都市剧场.png</v>
      </c>
      <c r="E83" s="2" t="str">
        <f>IF(B83="","",VLOOKUP(B83,[1]电视清单!C:F,4,0))</f>
        <v>付费</v>
      </c>
      <c r="F83" s="2" t="s">
        <v>14</v>
      </c>
      <c r="G83" s="2" t="s">
        <v>15</v>
      </c>
      <c r="H83" s="2" t="s">
        <v>16</v>
      </c>
      <c r="I83" s="2" t="s">
        <v>17</v>
      </c>
      <c r="J83" s="2" t="s">
        <v>18</v>
      </c>
      <c r="K83" s="2" t="s">
        <v>19</v>
      </c>
      <c r="L83" s="2" t="s">
        <v>20</v>
      </c>
    </row>
    <row r="84" spans="1:12" x14ac:dyDescent="0.2">
      <c r="A84" s="2" t="s">
        <v>179</v>
      </c>
      <c r="B84" s="2" t="s">
        <v>180</v>
      </c>
      <c r="C84" s="2" t="str">
        <f>IF(B84="","",VLOOKUP(B84,[1]电视清单!C:F,2,0))</f>
        <v>动漫秀场</v>
      </c>
      <c r="D84" s="2" t="str">
        <f>IF(B84="","",VLOOKUP(B84,[1]电视清单!C:F,3,0))</f>
        <v>动漫秀场.png</v>
      </c>
      <c r="E84" s="2" t="str">
        <f>IF(B84="","",VLOOKUP(B84,[1]电视清单!C:F,4,0))</f>
        <v>付费</v>
      </c>
      <c r="F84" s="2" t="s">
        <v>14</v>
      </c>
      <c r="G84" s="2" t="s">
        <v>15</v>
      </c>
      <c r="H84" s="2" t="s">
        <v>16</v>
      </c>
      <c r="I84" s="2" t="s">
        <v>17</v>
      </c>
      <c r="J84" s="2" t="s">
        <v>18</v>
      </c>
      <c r="K84" s="2" t="s">
        <v>19</v>
      </c>
      <c r="L84" s="2" t="s">
        <v>20</v>
      </c>
    </row>
    <row r="85" spans="1:12" x14ac:dyDescent="0.2">
      <c r="A85" s="2" t="s">
        <v>181</v>
      </c>
      <c r="B85" s="2" t="s">
        <v>182</v>
      </c>
      <c r="C85" s="2" t="str">
        <f>IF(B85="","",VLOOKUP(B85,[1]电视清单!C:F,2,0))</f>
        <v>乐游</v>
      </c>
      <c r="D85" s="2" t="str">
        <f>IF(B85="","",VLOOKUP(B85,[1]电视清单!C:F,3,0))</f>
        <v>乐游.png</v>
      </c>
      <c r="E85" s="2" t="str">
        <f>IF(B85="","",VLOOKUP(B85,[1]电视清单!C:F,4,0))</f>
        <v>付费</v>
      </c>
      <c r="F85" s="2" t="s">
        <v>14</v>
      </c>
      <c r="G85" s="2" t="s">
        <v>15</v>
      </c>
      <c r="H85" s="2" t="s">
        <v>16</v>
      </c>
      <c r="I85" s="2" t="s">
        <v>17</v>
      </c>
      <c r="J85" s="2" t="s">
        <v>18</v>
      </c>
      <c r="K85" s="2" t="s">
        <v>19</v>
      </c>
      <c r="L85" s="2" t="s">
        <v>20</v>
      </c>
    </row>
    <row r="86" spans="1:12" x14ac:dyDescent="0.2">
      <c r="A86" s="2" t="s">
        <v>183</v>
      </c>
      <c r="B86" s="2" t="s">
        <v>184</v>
      </c>
      <c r="C86" s="2" t="str">
        <f>IF(B86="","",VLOOKUP(B86,[1]电视清单!C:F,2,0))</f>
        <v>法治天地</v>
      </c>
      <c r="D86" s="2" t="str">
        <f>IF(B86="","",VLOOKUP(B86,[1]电视清单!C:F,3,0))</f>
        <v>法治天地.png</v>
      </c>
      <c r="E86" s="2" t="str">
        <f>IF(B86="","",VLOOKUP(B86,[1]电视清单!C:F,4,0))</f>
        <v>江苏</v>
      </c>
      <c r="F86" s="2" t="s">
        <v>14</v>
      </c>
      <c r="G86" s="2" t="s">
        <v>15</v>
      </c>
      <c r="H86" s="2" t="s">
        <v>16</v>
      </c>
      <c r="I86" s="2" t="s">
        <v>17</v>
      </c>
      <c r="J86" s="2" t="s">
        <v>18</v>
      </c>
      <c r="K86" s="2" t="s">
        <v>19</v>
      </c>
      <c r="L86" s="2" t="s">
        <v>20</v>
      </c>
    </row>
    <row r="87" spans="1:12" x14ac:dyDescent="0.2">
      <c r="A87" s="2" t="s">
        <v>185</v>
      </c>
      <c r="B87" s="2" t="s">
        <v>186</v>
      </c>
      <c r="C87" s="2" t="str">
        <f>IF(B87="","",VLOOKUP(B87,[1]电视清单!C:F,2,0))</f>
        <v>游戏风云</v>
      </c>
      <c r="D87" s="2" t="str">
        <f>IF(B87="","",VLOOKUP(B87,[1]电视清单!C:F,3,0))</f>
        <v>游戏风云.png</v>
      </c>
      <c r="E87" s="2" t="str">
        <f>IF(B87="","",VLOOKUP(B87,[1]电视清单!C:F,4,0))</f>
        <v>付费</v>
      </c>
      <c r="F87" s="2" t="s">
        <v>14</v>
      </c>
      <c r="G87" s="2" t="s">
        <v>15</v>
      </c>
      <c r="H87" s="2" t="s">
        <v>16</v>
      </c>
      <c r="I87" s="2" t="s">
        <v>17</v>
      </c>
      <c r="J87" s="2" t="s">
        <v>18</v>
      </c>
      <c r="K87" s="2" t="s">
        <v>19</v>
      </c>
      <c r="L87" s="2" t="s">
        <v>20</v>
      </c>
    </row>
    <row r="88" spans="1:12" x14ac:dyDescent="0.2">
      <c r="A88" s="2" t="s">
        <v>187</v>
      </c>
      <c r="B88" s="2" t="s">
        <v>188</v>
      </c>
      <c r="C88" s="2" t="str">
        <f>IF(B88="","",VLOOKUP(B88,[1]电视清单!C:F,2,0))</f>
        <v>生活时尚</v>
      </c>
      <c r="D88" s="2" t="str">
        <f>IF(B88="","",VLOOKUP(B88,[1]电视清单!C:F,3,0))</f>
        <v>生活时尚.png</v>
      </c>
      <c r="E88" s="2" t="str">
        <f>IF(B88="","",VLOOKUP(B88,[1]电视清单!C:F,4,0))</f>
        <v>付费</v>
      </c>
      <c r="F88" s="2" t="s">
        <v>14</v>
      </c>
      <c r="G88" s="2" t="s">
        <v>15</v>
      </c>
      <c r="H88" s="2" t="s">
        <v>16</v>
      </c>
      <c r="I88" s="2" t="s">
        <v>17</v>
      </c>
      <c r="J88" s="2" t="s">
        <v>18</v>
      </c>
      <c r="K88" s="2" t="s">
        <v>19</v>
      </c>
      <c r="L88" s="2" t="s">
        <v>20</v>
      </c>
    </row>
    <row r="89" spans="1:12" x14ac:dyDescent="0.2">
      <c r="A89" s="2" t="s">
        <v>189</v>
      </c>
      <c r="B89" s="2" t="s">
        <v>80</v>
      </c>
      <c r="C89" s="2" t="str">
        <f>IF(B89="","",VLOOKUP(B89,[1]电视清单!C:F,2,0))</f>
        <v>东方购物</v>
      </c>
      <c r="D89" s="2" t="str">
        <f>IF(B89="","",VLOOKUP(B89,[1]电视清单!C:F,3,0))</f>
        <v>东方购物.png</v>
      </c>
      <c r="E89" s="2" t="str">
        <f>IF(B89="","",VLOOKUP(B89,[1]电视清单!C:F,4,0))</f>
        <v>上海</v>
      </c>
      <c r="F89" s="2" t="s">
        <v>14</v>
      </c>
      <c r="G89" s="2" t="s">
        <v>15</v>
      </c>
      <c r="H89" s="2" t="s">
        <v>16</v>
      </c>
      <c r="I89" s="2" t="s">
        <v>17</v>
      </c>
      <c r="J89" s="2" t="s">
        <v>18</v>
      </c>
      <c r="K89" s="2" t="s">
        <v>19</v>
      </c>
      <c r="L89" s="2" t="s">
        <v>20</v>
      </c>
    </row>
    <row r="90" spans="1:12" x14ac:dyDescent="0.2">
      <c r="A90" s="2" t="s">
        <v>190</v>
      </c>
      <c r="B90" s="2" t="s">
        <v>80</v>
      </c>
      <c r="C90" s="2" t="str">
        <f>IF(B90="","",VLOOKUP(B90,[1]电视清单!C:F,2,0))</f>
        <v>东方购物</v>
      </c>
      <c r="D90" s="2" t="str">
        <f>IF(B90="","",VLOOKUP(B90,[1]电视清单!C:F,3,0))</f>
        <v>东方购物.png</v>
      </c>
      <c r="E90" s="2" t="str">
        <f>IF(B90="","",VLOOKUP(B90,[1]电视清单!C:F,4,0))</f>
        <v>上海</v>
      </c>
      <c r="F90" s="2" t="s">
        <v>14</v>
      </c>
      <c r="G90" s="2" t="s">
        <v>15</v>
      </c>
      <c r="H90" s="2" t="s">
        <v>16</v>
      </c>
      <c r="I90" s="2" t="s">
        <v>17</v>
      </c>
      <c r="J90" s="2" t="s">
        <v>18</v>
      </c>
      <c r="K90" s="2" t="s">
        <v>19</v>
      </c>
      <c r="L90" s="2" t="s">
        <v>20</v>
      </c>
    </row>
    <row r="91" spans="1:12" x14ac:dyDescent="0.2">
      <c r="A91" s="2" t="s">
        <v>191</v>
      </c>
      <c r="B91" s="2" t="s">
        <v>192</v>
      </c>
      <c r="C91" s="2" t="str">
        <f>IF(B91="","",VLOOKUP(B91,[1]电视清单!C:F,2,0))</f>
        <v>重庆卫视</v>
      </c>
      <c r="D91" s="2" t="str">
        <f>IF(B91="","",VLOOKUP(B91,[1]电视清单!C:F,3,0))</f>
        <v>重庆卫视.png</v>
      </c>
      <c r="E91" s="2" t="str">
        <f>IF(B91="","",VLOOKUP(B91,[1]电视清单!C:F,4,0))</f>
        <v>卫视</v>
      </c>
      <c r="F91" s="2" t="s">
        <v>39</v>
      </c>
      <c r="G91" s="2" t="s">
        <v>40</v>
      </c>
      <c r="H91" s="2" t="s">
        <v>16</v>
      </c>
      <c r="I91" s="2" t="s">
        <v>17</v>
      </c>
      <c r="J91" s="2" t="s">
        <v>18</v>
      </c>
      <c r="K91" s="2" t="s">
        <v>19</v>
      </c>
      <c r="L91" s="2" t="s">
        <v>20</v>
      </c>
    </row>
    <row r="92" spans="1:12" x14ac:dyDescent="0.2">
      <c r="A92" s="2" t="s">
        <v>193</v>
      </c>
      <c r="B92" s="2" t="s">
        <v>194</v>
      </c>
      <c r="C92" s="2" t="str">
        <f>IF(B92="","",VLOOKUP(B92,[1]电视清单!C:F,2,0))</f>
        <v>四川卫视</v>
      </c>
      <c r="D92" s="2" t="str">
        <f>IF(B92="","",VLOOKUP(B92,[1]电视清单!C:F,3,0))</f>
        <v>四川卫视.png</v>
      </c>
      <c r="E92" s="2" t="str">
        <f>IF(B92="","",VLOOKUP(B92,[1]电视清单!C:F,4,0))</f>
        <v>卫视</v>
      </c>
      <c r="F92" s="2" t="s">
        <v>39</v>
      </c>
      <c r="G92" s="2" t="s">
        <v>40</v>
      </c>
      <c r="H92" s="2" t="s">
        <v>16</v>
      </c>
      <c r="I92" s="2" t="s">
        <v>17</v>
      </c>
      <c r="J92" s="2" t="s">
        <v>18</v>
      </c>
      <c r="K92" s="2" t="s">
        <v>19</v>
      </c>
      <c r="L92" s="2" t="s">
        <v>20</v>
      </c>
    </row>
    <row r="93" spans="1:12" x14ac:dyDescent="0.2">
      <c r="A93" s="2" t="s">
        <v>195</v>
      </c>
      <c r="B93" s="2" t="s">
        <v>196</v>
      </c>
      <c r="C93" s="2" t="str">
        <f>IF(B93="","",VLOOKUP(B93,[1]电视清单!C:F,2,0))</f>
        <v>好享购物</v>
      </c>
      <c r="D93" s="2" t="str">
        <f>IF(B93="","",VLOOKUP(B93,[1]电视清单!C:F,3,0))</f>
        <v>好享购物.png</v>
      </c>
      <c r="E93" s="2" t="str">
        <f>IF(B93="","",VLOOKUP(B93,[1]电视清单!C:F,4,0))</f>
        <v>江苏</v>
      </c>
      <c r="F93" s="2" t="s">
        <v>14</v>
      </c>
      <c r="G93" s="2" t="s">
        <v>15</v>
      </c>
      <c r="H93" s="2" t="s">
        <v>16</v>
      </c>
      <c r="I93" s="2" t="s">
        <v>17</v>
      </c>
      <c r="J93" s="2" t="s">
        <v>18</v>
      </c>
      <c r="K93" s="2" t="s">
        <v>19</v>
      </c>
      <c r="L93" s="2" t="s">
        <v>20</v>
      </c>
    </row>
    <row r="94" spans="1:12" x14ac:dyDescent="0.2">
      <c r="A94" s="2" t="s">
        <v>197</v>
      </c>
      <c r="B94" s="2" t="s">
        <v>198</v>
      </c>
      <c r="C94" s="2" t="str">
        <f>IF(B94="","",VLOOKUP(B94,[1]电视清单!C:F,2,0))</f>
        <v>央广购物</v>
      </c>
      <c r="D94" s="2" t="str">
        <f>IF(B94="","",VLOOKUP(B94,[1]电视清单!C:F,3,0))</f>
        <v>央广购物.png</v>
      </c>
      <c r="E94" s="2" t="str">
        <f>IF(B94="","",VLOOKUP(B94,[1]电视清单!C:F,4,0))</f>
        <v>付费</v>
      </c>
      <c r="F94" s="2" t="s">
        <v>14</v>
      </c>
      <c r="G94" s="2" t="s">
        <v>15</v>
      </c>
      <c r="H94" s="2" t="s">
        <v>16</v>
      </c>
      <c r="I94" s="2" t="s">
        <v>17</v>
      </c>
      <c r="J94" s="2" t="s">
        <v>18</v>
      </c>
      <c r="K94" s="2" t="s">
        <v>19</v>
      </c>
      <c r="L94" s="2" t="s">
        <v>20</v>
      </c>
    </row>
    <row r="95" spans="1:12" x14ac:dyDescent="0.2">
      <c r="A95" s="2" t="s">
        <v>199</v>
      </c>
      <c r="B95" s="2" t="s">
        <v>200</v>
      </c>
      <c r="C95" s="2" t="str">
        <f>IF(B95="","",VLOOKUP(B95,[1]电视清单!C:F,2,0))</f>
        <v>BesTV</v>
      </c>
      <c r="D95" s="2" t="str">
        <f>IF(B95="","",VLOOKUP(B95,[1]电视清单!C:F,3,0))</f>
        <v>BesTV.png</v>
      </c>
      <c r="E95" s="2" t="str">
        <f>IF(B95="","",VLOOKUP(B95,[1]电视清单!C:F,4,0))</f>
        <v>BesTV</v>
      </c>
      <c r="F95" s="2" t="s">
        <v>39</v>
      </c>
      <c r="G95" s="2" t="s">
        <v>40</v>
      </c>
      <c r="H95" s="2" t="s">
        <v>16</v>
      </c>
      <c r="I95" s="2" t="s">
        <v>17</v>
      </c>
      <c r="J95" s="2" t="s">
        <v>18</v>
      </c>
      <c r="K95" s="2" t="s">
        <v>19</v>
      </c>
      <c r="L95" s="2" t="s">
        <v>20</v>
      </c>
    </row>
    <row r="96" spans="1:12" x14ac:dyDescent="0.2">
      <c r="A96" s="2" t="s">
        <v>201</v>
      </c>
      <c r="B96" s="2" t="s">
        <v>200</v>
      </c>
      <c r="C96" s="2" t="str">
        <f>IF(B96="","",VLOOKUP(B96,[1]电视清单!C:F,2,0))</f>
        <v>BesTV</v>
      </c>
      <c r="D96" s="2" t="str">
        <f>IF(B96="","",VLOOKUP(B96,[1]电视清单!C:F,3,0))</f>
        <v>BesTV.png</v>
      </c>
      <c r="E96" s="2" t="str">
        <f>IF(B96="","",VLOOKUP(B96,[1]电视清单!C:F,4,0))</f>
        <v>BesTV</v>
      </c>
      <c r="F96" s="2" t="s">
        <v>39</v>
      </c>
      <c r="G96" s="2" t="s">
        <v>40</v>
      </c>
      <c r="H96" s="2" t="s">
        <v>16</v>
      </c>
      <c r="I96" s="2" t="s">
        <v>17</v>
      </c>
      <c r="J96" s="2" t="s">
        <v>18</v>
      </c>
      <c r="K96" s="2" t="s">
        <v>19</v>
      </c>
      <c r="L96" s="2" t="s">
        <v>20</v>
      </c>
    </row>
    <row r="97" spans="1:12" x14ac:dyDescent="0.2">
      <c r="A97" s="2" t="s">
        <v>202</v>
      </c>
      <c r="B97" s="2" t="s">
        <v>200</v>
      </c>
      <c r="C97" s="2" t="str">
        <f>IF(B97="","",VLOOKUP(B97,[1]电视清单!C:F,2,0))</f>
        <v>BesTV</v>
      </c>
      <c r="D97" s="2" t="str">
        <f>IF(B97="","",VLOOKUP(B97,[1]电视清单!C:F,3,0))</f>
        <v>BesTV.png</v>
      </c>
      <c r="E97" s="2" t="str">
        <f>IF(B97="","",VLOOKUP(B97,[1]电视清单!C:F,4,0))</f>
        <v>BesTV</v>
      </c>
      <c r="F97" s="2" t="s">
        <v>39</v>
      </c>
      <c r="G97" s="2" t="s">
        <v>40</v>
      </c>
      <c r="H97" s="2" t="s">
        <v>16</v>
      </c>
      <c r="I97" s="2" t="s">
        <v>17</v>
      </c>
      <c r="J97" s="2" t="s">
        <v>18</v>
      </c>
      <c r="K97" s="2" t="s">
        <v>19</v>
      </c>
      <c r="L97" s="2" t="s">
        <v>20</v>
      </c>
    </row>
    <row r="98" spans="1:12" x14ac:dyDescent="0.2">
      <c r="A98" s="2" t="s">
        <v>203</v>
      </c>
      <c r="B98" s="2" t="s">
        <v>200</v>
      </c>
      <c r="C98" s="2" t="str">
        <f>IF(B98="","",VLOOKUP(B98,[1]电视清单!C:F,2,0))</f>
        <v>BesTV</v>
      </c>
      <c r="D98" s="2" t="str">
        <f>IF(B98="","",VLOOKUP(B98,[1]电视清单!C:F,3,0))</f>
        <v>BesTV.png</v>
      </c>
      <c r="E98" s="2" t="str">
        <f>IF(B98="","",VLOOKUP(B98,[1]电视清单!C:F,4,0))</f>
        <v>BesTV</v>
      </c>
      <c r="F98" s="2" t="s">
        <v>39</v>
      </c>
      <c r="G98" s="2" t="s">
        <v>40</v>
      </c>
      <c r="H98" s="2" t="s">
        <v>16</v>
      </c>
      <c r="I98" s="2" t="s">
        <v>17</v>
      </c>
      <c r="J98" s="2" t="s">
        <v>18</v>
      </c>
      <c r="K98" s="2" t="s">
        <v>19</v>
      </c>
      <c r="L98" s="2" t="s">
        <v>20</v>
      </c>
    </row>
    <row r="99" spans="1:12" x14ac:dyDescent="0.2">
      <c r="A99" s="2" t="s">
        <v>204</v>
      </c>
      <c r="B99" s="2" t="s">
        <v>200</v>
      </c>
      <c r="C99" s="2" t="str">
        <f>IF(B99="","",VLOOKUP(B99,[1]电视清单!C:F,2,0))</f>
        <v>BesTV</v>
      </c>
      <c r="D99" s="2" t="str">
        <f>IF(B99="","",VLOOKUP(B99,[1]电视清单!C:F,3,0))</f>
        <v>BesTV.png</v>
      </c>
      <c r="E99" s="2" t="str">
        <f>IF(B99="","",VLOOKUP(B99,[1]电视清单!C:F,4,0))</f>
        <v>BesTV</v>
      </c>
      <c r="F99" s="2" t="s">
        <v>39</v>
      </c>
      <c r="G99" s="2" t="s">
        <v>40</v>
      </c>
      <c r="H99" s="2" t="s">
        <v>16</v>
      </c>
      <c r="I99" s="2" t="s">
        <v>17</v>
      </c>
      <c r="J99" s="2" t="s">
        <v>18</v>
      </c>
      <c r="K99" s="2" t="s">
        <v>19</v>
      </c>
      <c r="L99" s="2" t="s">
        <v>20</v>
      </c>
    </row>
    <row r="100" spans="1:12" x14ac:dyDescent="0.2">
      <c r="A100" s="2" t="s">
        <v>205</v>
      </c>
      <c r="B100" s="2" t="s">
        <v>200</v>
      </c>
      <c r="C100" s="2" t="str">
        <f>IF(B100="","",VLOOKUP(B100,[1]电视清单!C:F,2,0))</f>
        <v>BesTV</v>
      </c>
      <c r="D100" s="2" t="str">
        <f>IF(B100="","",VLOOKUP(B100,[1]电视清单!C:F,3,0))</f>
        <v>BesTV.png</v>
      </c>
      <c r="E100" s="2" t="str">
        <f>IF(B100="","",VLOOKUP(B100,[1]电视清单!C:F,4,0))</f>
        <v>BesTV</v>
      </c>
      <c r="F100" s="2" t="s">
        <v>39</v>
      </c>
      <c r="G100" s="2" t="s">
        <v>40</v>
      </c>
      <c r="H100" s="2" t="s">
        <v>16</v>
      </c>
      <c r="I100" s="2" t="s">
        <v>17</v>
      </c>
      <c r="J100" s="2" t="s">
        <v>18</v>
      </c>
      <c r="K100" s="2" t="s">
        <v>19</v>
      </c>
      <c r="L100" s="2" t="s">
        <v>20</v>
      </c>
    </row>
    <row r="101" spans="1:12" x14ac:dyDescent="0.2">
      <c r="A101" s="2" t="s">
        <v>206</v>
      </c>
      <c r="B101" s="2" t="s">
        <v>200</v>
      </c>
      <c r="C101" s="2" t="str">
        <f>IF(B101="","",VLOOKUP(B101,[1]电视清单!C:F,2,0))</f>
        <v>BesTV</v>
      </c>
      <c r="D101" s="2" t="str">
        <f>IF(B101="","",VLOOKUP(B101,[1]电视清单!C:F,3,0))</f>
        <v>BesTV.png</v>
      </c>
      <c r="E101" s="2" t="str">
        <f>IF(B101="","",VLOOKUP(B101,[1]电视清单!C:F,4,0))</f>
        <v>BesTV</v>
      </c>
      <c r="F101" s="2" t="s">
        <v>39</v>
      </c>
      <c r="G101" s="2" t="s">
        <v>40</v>
      </c>
      <c r="H101" s="2" t="s">
        <v>16</v>
      </c>
      <c r="I101" s="2" t="s">
        <v>17</v>
      </c>
      <c r="J101" s="2" t="s">
        <v>18</v>
      </c>
      <c r="K101" s="2" t="s">
        <v>19</v>
      </c>
      <c r="L101" s="2" t="s">
        <v>20</v>
      </c>
    </row>
    <row r="102" spans="1:12" x14ac:dyDescent="0.2">
      <c r="A102" s="2" t="s">
        <v>207</v>
      </c>
      <c r="B102" s="4" t="s">
        <v>208</v>
      </c>
      <c r="C102" s="2" t="str">
        <f>IF(B102="","",VLOOKUP(B102,[1]电视清单!C:F,2,0))</f>
        <v>BesTV导航</v>
      </c>
      <c r="D102" s="2" t="str">
        <f>IF(B102="","",VLOOKUP(B102,[1]电视清单!C:F,3,0))</f>
        <v>BesTV导航.png</v>
      </c>
      <c r="E102" s="2" t="str">
        <f>IF(B102="","",VLOOKUP(B102,[1]电视清单!C:F,4,0))</f>
        <v>4K超高清</v>
      </c>
      <c r="F102" s="2" t="s">
        <v>39</v>
      </c>
      <c r="G102" s="2" t="s">
        <v>40</v>
      </c>
      <c r="H102" s="2" t="s">
        <v>16</v>
      </c>
      <c r="I102" s="2" t="s">
        <v>17</v>
      </c>
      <c r="J102" s="2" t="s">
        <v>18</v>
      </c>
      <c r="K102" s="2" t="s">
        <v>19</v>
      </c>
      <c r="L102" s="2" t="s">
        <v>20</v>
      </c>
    </row>
    <row r="103" spans="1:12" x14ac:dyDescent="0.2">
      <c r="A103" s="2" t="s">
        <v>209</v>
      </c>
      <c r="B103" s="2" t="s">
        <v>210</v>
      </c>
      <c r="C103" s="2" t="str">
        <f>IF(B103="","",VLOOKUP(B103,[1]电视清单!C:F,2,0))</f>
        <v>海南卫视</v>
      </c>
      <c r="D103" s="2" t="str">
        <f>IF(B103="","",VLOOKUP(B103,[1]电视清单!C:F,3,0))</f>
        <v>海南卫视.png</v>
      </c>
      <c r="E103" s="2" t="str">
        <f>IF(B103="","",VLOOKUP(B103,[1]电视清单!C:F,4,0))</f>
        <v>卫视</v>
      </c>
      <c r="F103" s="2" t="s">
        <v>39</v>
      </c>
      <c r="G103" s="2" t="s">
        <v>40</v>
      </c>
      <c r="H103" s="2" t="s">
        <v>16</v>
      </c>
      <c r="I103" s="2" t="s">
        <v>17</v>
      </c>
      <c r="J103" s="2" t="s">
        <v>18</v>
      </c>
      <c r="K103" s="2" t="s">
        <v>19</v>
      </c>
      <c r="L103" s="2" t="s">
        <v>20</v>
      </c>
    </row>
    <row r="104" spans="1:12" x14ac:dyDescent="0.2">
      <c r="A104" s="2" t="s">
        <v>211</v>
      </c>
      <c r="B104" s="2" t="s">
        <v>212</v>
      </c>
      <c r="C104" s="2" t="str">
        <f>IF(B104="","",VLOOKUP(B104,[1]电视清单!C:F,2,0))</f>
        <v>贵州卫视</v>
      </c>
      <c r="D104" s="2" t="str">
        <f>IF(B104="","",VLOOKUP(B104,[1]电视清单!C:F,3,0))</f>
        <v>贵州卫视.png</v>
      </c>
      <c r="E104" s="2" t="str">
        <f>IF(B104="","",VLOOKUP(B104,[1]电视清单!C:F,4,0))</f>
        <v>卫视</v>
      </c>
      <c r="F104" s="2" t="s">
        <v>39</v>
      </c>
      <c r="G104" s="2" t="s">
        <v>40</v>
      </c>
      <c r="H104" s="2" t="s">
        <v>16</v>
      </c>
      <c r="I104" s="2" t="s">
        <v>17</v>
      </c>
      <c r="J104" s="2" t="s">
        <v>18</v>
      </c>
      <c r="K104" s="2" t="s">
        <v>19</v>
      </c>
      <c r="L104" s="2" t="s">
        <v>20</v>
      </c>
    </row>
    <row r="105" spans="1:12" x14ac:dyDescent="0.2">
      <c r="A105" s="2" t="s">
        <v>213</v>
      </c>
      <c r="B105" s="2" t="s">
        <v>214</v>
      </c>
      <c r="C105" s="2" t="str">
        <f>IF(B105="","",VLOOKUP(B105,[1]电视清单!C:F,2,0))</f>
        <v>三沙卫视</v>
      </c>
      <c r="D105" s="2" t="str">
        <f>IF(B105="","",VLOOKUP(B105,[1]电视清单!C:F,3,0))</f>
        <v>三沙卫视.png</v>
      </c>
      <c r="E105" s="2" t="str">
        <f>IF(B105="","",VLOOKUP(B105,[1]电视清单!C:F,4,0))</f>
        <v>卫视</v>
      </c>
      <c r="F105" s="2" t="s">
        <v>14</v>
      </c>
      <c r="G105" s="2" t="s">
        <v>15</v>
      </c>
      <c r="H105" s="2" t="s">
        <v>16</v>
      </c>
      <c r="I105" s="2" t="s">
        <v>17</v>
      </c>
      <c r="J105" s="2" t="s">
        <v>18</v>
      </c>
      <c r="K105" s="2" t="s">
        <v>19</v>
      </c>
      <c r="L105" s="2" t="s">
        <v>20</v>
      </c>
    </row>
    <row r="106" spans="1:12" x14ac:dyDescent="0.2">
      <c r="A106" s="2" t="s">
        <v>215</v>
      </c>
      <c r="B106" s="2" t="s">
        <v>216</v>
      </c>
      <c r="C106" s="2" t="str">
        <f>IF(B106="","",VLOOKUP(B106,[1]电视清单!C:F,2,0))</f>
        <v>CCTV3</v>
      </c>
      <c r="D106" s="2" t="str">
        <f>IF(B106="","",VLOOKUP(B106,[1]电视清单!C:F,3,0))</f>
        <v>CCTV3.png</v>
      </c>
      <c r="E106" s="2" t="str">
        <f>IF(B106="","",VLOOKUP(B106,[1]电视清单!C:F,4,0))</f>
        <v>央视</v>
      </c>
      <c r="F106" s="2" t="s">
        <v>39</v>
      </c>
      <c r="G106" s="2" t="s">
        <v>40</v>
      </c>
      <c r="H106" s="2" t="s">
        <v>16</v>
      </c>
      <c r="I106" s="2" t="s">
        <v>17</v>
      </c>
      <c r="J106" s="2" t="s">
        <v>18</v>
      </c>
      <c r="K106" s="2" t="s">
        <v>19</v>
      </c>
      <c r="L106" s="2" t="s">
        <v>20</v>
      </c>
    </row>
    <row r="107" spans="1:12" x14ac:dyDescent="0.2">
      <c r="A107" s="2" t="s">
        <v>217</v>
      </c>
      <c r="B107" s="2" t="s">
        <v>218</v>
      </c>
      <c r="C107" s="2" t="str">
        <f>IF(B107="","",VLOOKUP(B107,[1]电视清单!C:F,2,0))</f>
        <v>CCTV5</v>
      </c>
      <c r="D107" s="2" t="str">
        <f>IF(B107="","",VLOOKUP(B107,[1]电视清单!C:F,3,0))</f>
        <v>CCTV5.png</v>
      </c>
      <c r="E107" s="2" t="str">
        <f>IF(B107="","",VLOOKUP(B107,[1]电视清单!C:F,4,0))</f>
        <v>央视</v>
      </c>
      <c r="F107" s="2" t="s">
        <v>39</v>
      </c>
      <c r="G107" s="2" t="s">
        <v>40</v>
      </c>
      <c r="H107" s="2" t="s">
        <v>16</v>
      </c>
      <c r="I107" s="2" t="s">
        <v>17</v>
      </c>
      <c r="J107" s="2" t="s">
        <v>18</v>
      </c>
      <c r="K107" s="2" t="s">
        <v>19</v>
      </c>
      <c r="L107" s="2" t="s">
        <v>20</v>
      </c>
    </row>
    <row r="108" spans="1:12" x14ac:dyDescent="0.2">
      <c r="A108" s="2" t="s">
        <v>219</v>
      </c>
      <c r="B108" s="2" t="s">
        <v>220</v>
      </c>
      <c r="C108" s="2" t="str">
        <f>IF(B108="","",VLOOKUP(B108,[1]电视清单!C:F,2,0))</f>
        <v>CCTV6</v>
      </c>
      <c r="D108" s="2" t="str">
        <f>IF(B108="","",VLOOKUP(B108,[1]电视清单!C:F,3,0))</f>
        <v>CCTV6.png</v>
      </c>
      <c r="E108" s="2" t="str">
        <f>IF(B108="","",VLOOKUP(B108,[1]电视清单!C:F,4,0))</f>
        <v>央视</v>
      </c>
      <c r="F108" s="2" t="s">
        <v>39</v>
      </c>
      <c r="G108" s="2" t="s">
        <v>40</v>
      </c>
      <c r="H108" s="2" t="s">
        <v>16</v>
      </c>
      <c r="I108" s="2" t="s">
        <v>17</v>
      </c>
      <c r="J108" s="2" t="s">
        <v>18</v>
      </c>
      <c r="K108" s="2" t="s">
        <v>19</v>
      </c>
      <c r="L108" s="2" t="s">
        <v>20</v>
      </c>
    </row>
    <row r="109" spans="1:12" x14ac:dyDescent="0.2">
      <c r="A109" s="2" t="s">
        <v>221</v>
      </c>
      <c r="B109" s="2" t="s">
        <v>222</v>
      </c>
      <c r="C109" s="2" t="str">
        <f>IF(B109="","",VLOOKUP(B109,[1]电视清单!C:F,2,0))</f>
        <v>CCTV8</v>
      </c>
      <c r="D109" s="2" t="str">
        <f>IF(B109="","",VLOOKUP(B109,[1]电视清单!C:F,3,0))</f>
        <v>CCTV8.png</v>
      </c>
      <c r="E109" s="2" t="str">
        <f>IF(B109="","",VLOOKUP(B109,[1]电视清单!C:F,4,0))</f>
        <v>央视</v>
      </c>
      <c r="F109" s="2" t="s">
        <v>39</v>
      </c>
      <c r="G109" s="2" t="s">
        <v>40</v>
      </c>
      <c r="H109" s="2" t="s">
        <v>16</v>
      </c>
      <c r="I109" s="2" t="s">
        <v>17</v>
      </c>
      <c r="J109" s="2" t="s">
        <v>18</v>
      </c>
      <c r="K109" s="2" t="s">
        <v>19</v>
      </c>
      <c r="L109" s="2" t="s">
        <v>20</v>
      </c>
    </row>
    <row r="110" spans="1:12" x14ac:dyDescent="0.2">
      <c r="A110" s="2" t="s">
        <v>223</v>
      </c>
      <c r="B110" s="3" t="s">
        <v>186</v>
      </c>
      <c r="C110" s="2" t="str">
        <f>IF(B110="","",VLOOKUP(B110,[1]电视清单!C:F,2,0))</f>
        <v>游戏风云</v>
      </c>
      <c r="D110" s="2" t="str">
        <f>IF(B110="","",VLOOKUP(B110,[1]电视清单!C:F,3,0))</f>
        <v>游戏风云.png</v>
      </c>
      <c r="E110" s="2" t="str">
        <f>IF(B110="","",VLOOKUP(B110,[1]电视清单!C:F,4,0))</f>
        <v>付费</v>
      </c>
      <c r="F110" s="2" t="s">
        <v>39</v>
      </c>
      <c r="G110" s="2" t="s">
        <v>40</v>
      </c>
      <c r="H110" s="2" t="s">
        <v>16</v>
      </c>
      <c r="I110" s="2" t="s">
        <v>17</v>
      </c>
      <c r="J110" s="2" t="s">
        <v>18</v>
      </c>
      <c r="K110" s="2" t="s">
        <v>19</v>
      </c>
      <c r="L110" s="2" t="s">
        <v>20</v>
      </c>
    </row>
    <row r="111" spans="1:12" x14ac:dyDescent="0.2">
      <c r="A111" s="2" t="s">
        <v>224</v>
      </c>
      <c r="B111" s="3" t="s">
        <v>225</v>
      </c>
      <c r="C111" s="2" t="str">
        <f>IF(B111="","",VLOOKUP(B111,[1]电视清单!C:F,2,0))</f>
        <v>欢笑剧场</v>
      </c>
      <c r="D111" s="2" t="str">
        <f>IF(B111="","",VLOOKUP(B111,[1]电视清单!C:F,3,0))</f>
        <v>欢笑剧场.png</v>
      </c>
      <c r="E111" s="2" t="str">
        <f>IF(B111="","",VLOOKUP(B111,[1]电视清单!C:F,4,0))</f>
        <v>付费</v>
      </c>
      <c r="F111" s="2" t="s">
        <v>39</v>
      </c>
      <c r="G111" s="2" t="s">
        <v>40</v>
      </c>
      <c r="H111" s="2" t="s">
        <v>16</v>
      </c>
      <c r="I111" s="2" t="s">
        <v>17</v>
      </c>
      <c r="J111" s="2" t="s">
        <v>18</v>
      </c>
      <c r="K111" s="2" t="s">
        <v>19</v>
      </c>
      <c r="L111" s="2" t="s">
        <v>20</v>
      </c>
    </row>
    <row r="112" spans="1:12" x14ac:dyDescent="0.2">
      <c r="A112" s="2" t="s">
        <v>226</v>
      </c>
      <c r="B112" s="3" t="s">
        <v>176</v>
      </c>
      <c r="C112" s="2" t="str">
        <f>IF(B112="","",VLOOKUP(B112,[1]电视清单!C:F,2,0))</f>
        <v>金色学堂</v>
      </c>
      <c r="D112" s="2" t="str">
        <f>IF(B112="","",VLOOKUP(B112,[1]电视清单!C:F,3,0))</f>
        <v>金色学堂.png</v>
      </c>
      <c r="E112" s="2" t="str">
        <f>IF(B112="","",VLOOKUP(B112,[1]电视清单!C:F,4,0))</f>
        <v>付费</v>
      </c>
      <c r="F112" s="2" t="s">
        <v>39</v>
      </c>
      <c r="G112" s="2" t="s">
        <v>40</v>
      </c>
      <c r="H112" s="2" t="s">
        <v>16</v>
      </c>
      <c r="I112" s="2" t="s">
        <v>17</v>
      </c>
      <c r="J112" s="2" t="s">
        <v>18</v>
      </c>
      <c r="K112" s="2" t="s">
        <v>19</v>
      </c>
      <c r="L112" s="2" t="s">
        <v>20</v>
      </c>
    </row>
    <row r="113" spans="1:12" x14ac:dyDescent="0.2">
      <c r="A113" s="2" t="s">
        <v>227</v>
      </c>
      <c r="B113" s="3" t="s">
        <v>184</v>
      </c>
      <c r="C113" s="2" t="str">
        <f>IF(B113="","",VLOOKUP(B113,[1]电视清单!C:F,2,0))</f>
        <v>法治天地</v>
      </c>
      <c r="D113" s="2" t="str">
        <f>IF(B113="","",VLOOKUP(B113,[1]电视清单!C:F,3,0))</f>
        <v>法治天地.png</v>
      </c>
      <c r="E113" s="2" t="str">
        <f>IF(B113="","",VLOOKUP(B113,[1]电视清单!C:F,4,0))</f>
        <v>江苏</v>
      </c>
      <c r="F113" s="2" t="s">
        <v>39</v>
      </c>
      <c r="G113" s="2" t="s">
        <v>40</v>
      </c>
      <c r="H113" s="2" t="s">
        <v>16</v>
      </c>
      <c r="I113" s="2" t="s">
        <v>17</v>
      </c>
      <c r="J113" s="2" t="s">
        <v>18</v>
      </c>
      <c r="K113" s="2" t="s">
        <v>19</v>
      </c>
      <c r="L113" s="2" t="s">
        <v>20</v>
      </c>
    </row>
    <row r="114" spans="1:12" x14ac:dyDescent="0.2">
      <c r="A114" s="2" t="s">
        <v>228</v>
      </c>
      <c r="B114" s="3" t="s">
        <v>180</v>
      </c>
      <c r="C114" s="2" t="str">
        <f>IF(B114="","",VLOOKUP(B114,[1]电视清单!C:F,2,0))</f>
        <v>动漫秀场</v>
      </c>
      <c r="D114" s="2" t="str">
        <f>IF(B114="","",VLOOKUP(B114,[1]电视清单!C:F,3,0))</f>
        <v>动漫秀场.png</v>
      </c>
      <c r="E114" s="2" t="str">
        <f>IF(B114="","",VLOOKUP(B114,[1]电视清单!C:F,4,0))</f>
        <v>付费</v>
      </c>
      <c r="F114" s="2" t="s">
        <v>39</v>
      </c>
      <c r="G114" s="2" t="s">
        <v>40</v>
      </c>
      <c r="H114" s="2" t="s">
        <v>16</v>
      </c>
      <c r="I114" s="2" t="s">
        <v>17</v>
      </c>
      <c r="J114" s="2" t="s">
        <v>18</v>
      </c>
      <c r="K114" s="2" t="s">
        <v>19</v>
      </c>
      <c r="L114" s="2" t="s">
        <v>20</v>
      </c>
    </row>
    <row r="115" spans="1:12" x14ac:dyDescent="0.2">
      <c r="A115" s="2" t="s">
        <v>229</v>
      </c>
      <c r="B115" s="3" t="s">
        <v>188</v>
      </c>
      <c r="C115" s="2" t="str">
        <f>IF(B115="","",VLOOKUP(B115,[1]电视清单!C:F,2,0))</f>
        <v>生活时尚</v>
      </c>
      <c r="D115" s="2" t="str">
        <f>IF(B115="","",VLOOKUP(B115,[1]电视清单!C:F,3,0))</f>
        <v>生活时尚.png</v>
      </c>
      <c r="E115" s="2" t="str">
        <f>IF(B115="","",VLOOKUP(B115,[1]电视清单!C:F,4,0))</f>
        <v>付费</v>
      </c>
      <c r="F115" s="2" t="s">
        <v>39</v>
      </c>
      <c r="G115" s="2" t="s">
        <v>40</v>
      </c>
      <c r="H115" s="2" t="s">
        <v>16</v>
      </c>
      <c r="I115" s="2" t="s">
        <v>17</v>
      </c>
      <c r="J115" s="2" t="s">
        <v>18</v>
      </c>
      <c r="K115" s="2" t="s">
        <v>19</v>
      </c>
      <c r="L115" s="2" t="s">
        <v>20</v>
      </c>
    </row>
    <row r="116" spans="1:12" x14ac:dyDescent="0.2">
      <c r="A116" s="2" t="s">
        <v>230</v>
      </c>
      <c r="B116" s="3" t="s">
        <v>182</v>
      </c>
      <c r="C116" s="2" t="str">
        <f>IF(B116="","",VLOOKUP(B116,[1]电视清单!C:F,2,0))</f>
        <v>乐游</v>
      </c>
      <c r="D116" s="2" t="str">
        <f>IF(B116="","",VLOOKUP(B116,[1]电视清单!C:F,3,0))</f>
        <v>乐游.png</v>
      </c>
      <c r="E116" s="2" t="str">
        <f>IF(B116="","",VLOOKUP(B116,[1]电视清单!C:F,4,0))</f>
        <v>付费</v>
      </c>
      <c r="F116" s="2" t="s">
        <v>39</v>
      </c>
      <c r="G116" s="2" t="s">
        <v>40</v>
      </c>
      <c r="H116" s="2" t="s">
        <v>16</v>
      </c>
      <c r="I116" s="2" t="s">
        <v>17</v>
      </c>
      <c r="J116" s="2" t="s">
        <v>18</v>
      </c>
      <c r="K116" s="2" t="s">
        <v>19</v>
      </c>
      <c r="L116" s="2" t="s">
        <v>20</v>
      </c>
    </row>
    <row r="117" spans="1:12" x14ac:dyDescent="0.2">
      <c r="A117" s="2" t="s">
        <v>231</v>
      </c>
      <c r="B117" s="2" t="s">
        <v>232</v>
      </c>
      <c r="C117" s="2" t="str">
        <f>IF(B117="","",VLOOKUP(B117,[1]电视清单!C:F,2,0))</f>
        <v>东南卫视</v>
      </c>
      <c r="D117" s="2" t="str">
        <f>IF(B117="","",VLOOKUP(B117,[1]电视清单!C:F,3,0))</f>
        <v>东南卫视.png</v>
      </c>
      <c r="E117" s="2" t="str">
        <f>IF(B117="","",VLOOKUP(B117,[1]电视清单!C:F,4,0))</f>
        <v>卫视</v>
      </c>
      <c r="F117" s="2" t="s">
        <v>39</v>
      </c>
      <c r="G117" s="2" t="s">
        <v>40</v>
      </c>
      <c r="H117" s="2" t="s">
        <v>16</v>
      </c>
      <c r="I117" s="2" t="s">
        <v>17</v>
      </c>
      <c r="J117" s="2" t="s">
        <v>18</v>
      </c>
      <c r="K117" s="2" t="s">
        <v>19</v>
      </c>
      <c r="L117" s="2" t="s">
        <v>20</v>
      </c>
    </row>
    <row r="118" spans="1:12" x14ac:dyDescent="0.2">
      <c r="A118" s="2" t="s">
        <v>233</v>
      </c>
      <c r="B118" s="3" t="s">
        <v>178</v>
      </c>
      <c r="C118" s="2" t="str">
        <f>IF(B118="","",VLOOKUP(B118,[1]电视清单!C:F,2,0))</f>
        <v>都市剧场</v>
      </c>
      <c r="D118" s="2" t="str">
        <f>IF(B118="","",VLOOKUP(B118,[1]电视清单!C:F,3,0))</f>
        <v>都市剧场.png</v>
      </c>
      <c r="E118" s="2" t="str">
        <f>IF(B118="","",VLOOKUP(B118,[1]电视清单!C:F,4,0))</f>
        <v>付费</v>
      </c>
      <c r="F118" s="2" t="s">
        <v>39</v>
      </c>
      <c r="G118" s="2" t="s">
        <v>40</v>
      </c>
      <c r="H118" s="2" t="s">
        <v>16</v>
      </c>
      <c r="I118" s="2" t="s">
        <v>17</v>
      </c>
      <c r="J118" s="2" t="s">
        <v>18</v>
      </c>
      <c r="K118" s="2" t="s">
        <v>19</v>
      </c>
      <c r="L118" s="2" t="s">
        <v>20</v>
      </c>
    </row>
    <row r="119" spans="1:12" x14ac:dyDescent="0.2">
      <c r="A119" s="2" t="s">
        <v>234</v>
      </c>
      <c r="B119" s="2" t="s">
        <v>235</v>
      </c>
      <c r="C119" s="2" t="str">
        <f>IF(B119="","",VLOOKUP(B119,[1]电视清单!C:F,2,0))</f>
        <v>财富天下</v>
      </c>
      <c r="D119" s="2" t="str">
        <f>IF(B119="","",VLOOKUP(B119,[1]电视清单!C:F,3,0))</f>
        <v>财富天下.png</v>
      </c>
      <c r="E119" s="2" t="str">
        <f>IF(B119="","",VLOOKUP(B119,[1]电视清单!C:F,4,0))</f>
        <v>付费</v>
      </c>
      <c r="F119" s="2" t="s">
        <v>14</v>
      </c>
      <c r="G119" s="2" t="s">
        <v>15</v>
      </c>
      <c r="H119" s="2" t="s">
        <v>16</v>
      </c>
      <c r="I119" s="2" t="s">
        <v>17</v>
      </c>
      <c r="J119" s="2" t="s">
        <v>18</v>
      </c>
      <c r="K119" s="2" t="s">
        <v>19</v>
      </c>
      <c r="L119" s="2" t="s">
        <v>20</v>
      </c>
    </row>
    <row r="120" spans="1:12" x14ac:dyDescent="0.2">
      <c r="A120" s="2" t="s">
        <v>236</v>
      </c>
      <c r="B120" s="2" t="s">
        <v>237</v>
      </c>
      <c r="C120" s="2" t="str">
        <f>IF(B120="","",VLOOKUP(B120,[1]电视清单!C:F,2,0))</f>
        <v>CCTV2</v>
      </c>
      <c r="D120" s="2" t="str">
        <f>IF(B120="","",VLOOKUP(B120,[1]电视清单!C:F,3,0))</f>
        <v>CCTV2.png</v>
      </c>
      <c r="E120" s="2" t="str">
        <f>IF(B120="","",VLOOKUP(B120,[1]电视清单!C:F,4,0))</f>
        <v>央视</v>
      </c>
      <c r="F120" s="2" t="s">
        <v>39</v>
      </c>
      <c r="G120" s="2" t="s">
        <v>40</v>
      </c>
      <c r="H120" s="2" t="s">
        <v>16</v>
      </c>
      <c r="I120" s="2" t="s">
        <v>17</v>
      </c>
      <c r="J120" s="2" t="s">
        <v>18</v>
      </c>
      <c r="K120" s="2" t="s">
        <v>19</v>
      </c>
      <c r="L120" s="2" t="s">
        <v>20</v>
      </c>
    </row>
    <row r="121" spans="1:12" x14ac:dyDescent="0.2">
      <c r="A121" s="2" t="s">
        <v>238</v>
      </c>
      <c r="B121" s="2" t="s">
        <v>239</v>
      </c>
      <c r="C121" s="2" t="str">
        <f>IF(B121="","",VLOOKUP(B121,[1]电视清单!C:F,2,0))</f>
        <v>CCTV4</v>
      </c>
      <c r="D121" s="2" t="str">
        <f>IF(B121="","",VLOOKUP(B121,[1]电视清单!C:F,3,0))</f>
        <v>CCTV4.png</v>
      </c>
      <c r="E121" s="2" t="str">
        <f>IF(B121="","",VLOOKUP(B121,[1]电视清单!C:F,4,0))</f>
        <v>央视</v>
      </c>
      <c r="F121" s="2" t="s">
        <v>39</v>
      </c>
      <c r="G121" s="2" t="s">
        <v>40</v>
      </c>
      <c r="H121" s="2" t="s">
        <v>16</v>
      </c>
      <c r="I121" s="2" t="s">
        <v>17</v>
      </c>
      <c r="J121" s="2" t="s">
        <v>18</v>
      </c>
      <c r="K121" s="2" t="s">
        <v>19</v>
      </c>
      <c r="L121" s="2" t="s">
        <v>20</v>
      </c>
    </row>
    <row r="122" spans="1:12" x14ac:dyDescent="0.2">
      <c r="A122" s="2" t="s">
        <v>240</v>
      </c>
      <c r="B122" s="2" t="s">
        <v>241</v>
      </c>
      <c r="C122" s="2" t="str">
        <f>IF(B122="","",VLOOKUP(B122,[1]电视清单!C:F,2,0))</f>
        <v>河南卫视</v>
      </c>
      <c r="D122" s="2" t="str">
        <f>IF(B122="","",VLOOKUP(B122,[1]电视清单!C:F,3,0))</f>
        <v>河南卫视.png</v>
      </c>
      <c r="E122" s="2" t="str">
        <f>IF(B122="","",VLOOKUP(B122,[1]电视清单!C:F,4,0))</f>
        <v>卫视</v>
      </c>
      <c r="F122" s="2" t="s">
        <v>39</v>
      </c>
      <c r="G122" s="2" t="s">
        <v>40</v>
      </c>
      <c r="H122" s="2" t="s">
        <v>16</v>
      </c>
      <c r="I122" s="2" t="s">
        <v>17</v>
      </c>
      <c r="J122" s="2" t="s">
        <v>18</v>
      </c>
      <c r="K122" s="2" t="s">
        <v>19</v>
      </c>
      <c r="L122" s="2" t="s">
        <v>20</v>
      </c>
    </row>
    <row r="123" spans="1:12" x14ac:dyDescent="0.2">
      <c r="A123" s="2" t="s">
        <v>242</v>
      </c>
      <c r="B123" s="2" t="s">
        <v>243</v>
      </c>
      <c r="C123" s="2" t="str">
        <f>IF(B123="","",VLOOKUP(B123,[1]电视清单!C:F,2,0))</f>
        <v>云南卫视</v>
      </c>
      <c r="D123" s="2" t="str">
        <f>IF(B123="","",VLOOKUP(B123,[1]电视清单!C:F,3,0))</f>
        <v>云南卫视.png</v>
      </c>
      <c r="E123" s="2" t="str">
        <f>IF(B123="","",VLOOKUP(B123,[1]电视清单!C:F,4,0))</f>
        <v>卫视</v>
      </c>
      <c r="F123" s="2" t="s">
        <v>39</v>
      </c>
      <c r="G123" s="2" t="s">
        <v>40</v>
      </c>
      <c r="H123" s="2" t="s">
        <v>16</v>
      </c>
      <c r="I123" s="2" t="s">
        <v>17</v>
      </c>
      <c r="J123" s="2" t="s">
        <v>18</v>
      </c>
      <c r="K123" s="2" t="s">
        <v>19</v>
      </c>
      <c r="L123" s="2" t="s">
        <v>20</v>
      </c>
    </row>
    <row r="124" spans="1:12" x14ac:dyDescent="0.2">
      <c r="A124" s="2" t="s">
        <v>244</v>
      </c>
      <c r="B124" s="2" t="s">
        <v>245</v>
      </c>
      <c r="C124" s="2" t="str">
        <f>IF(B124="","",VLOOKUP(B124,[1]电视清单!C:F,2,0))</f>
        <v>广西卫视</v>
      </c>
      <c r="D124" s="2" t="str">
        <f>IF(B124="","",VLOOKUP(B124,[1]电视清单!C:F,3,0))</f>
        <v>广西卫视.png</v>
      </c>
      <c r="E124" s="2" t="str">
        <f>IF(B124="","",VLOOKUP(B124,[1]电视清单!C:F,4,0))</f>
        <v>卫视</v>
      </c>
      <c r="F124" s="2" t="s">
        <v>39</v>
      </c>
      <c r="G124" s="2" t="s">
        <v>40</v>
      </c>
      <c r="H124" s="2" t="s">
        <v>16</v>
      </c>
      <c r="I124" s="2" t="s">
        <v>17</v>
      </c>
      <c r="J124" s="2" t="s">
        <v>18</v>
      </c>
      <c r="K124" s="2" t="s">
        <v>19</v>
      </c>
      <c r="L124" s="2" t="s">
        <v>20</v>
      </c>
    </row>
    <row r="125" spans="1:12" x14ac:dyDescent="0.2">
      <c r="A125" s="2" t="s">
        <v>246</v>
      </c>
      <c r="B125" s="2" t="s">
        <v>247</v>
      </c>
      <c r="C125" s="2" t="str">
        <f>IF(B125="","",VLOOKUP(B125,[1]电视清单!C:F,2,0))</f>
        <v>吉林卫视</v>
      </c>
      <c r="D125" s="2" t="str">
        <f>IF(B125="","",VLOOKUP(B125,[1]电视清单!C:F,3,0))</f>
        <v>吉林卫视.png</v>
      </c>
      <c r="E125" s="2" t="str">
        <f>IF(B125="","",VLOOKUP(B125,[1]电视清单!C:F,4,0))</f>
        <v>卫视</v>
      </c>
      <c r="F125" s="2" t="s">
        <v>39</v>
      </c>
      <c r="G125" s="2" t="s">
        <v>40</v>
      </c>
      <c r="H125" s="2" t="s">
        <v>16</v>
      </c>
      <c r="I125" s="2" t="s">
        <v>17</v>
      </c>
      <c r="J125" s="2" t="s">
        <v>18</v>
      </c>
      <c r="K125" s="2" t="s">
        <v>19</v>
      </c>
      <c r="L125" s="2" t="s">
        <v>20</v>
      </c>
    </row>
    <row r="126" spans="1:12" x14ac:dyDescent="0.2">
      <c r="A126" s="2" t="s">
        <v>248</v>
      </c>
      <c r="B126" s="2" t="s">
        <v>249</v>
      </c>
      <c r="C126" s="2" t="str">
        <f>IF(B126="","",VLOOKUP(B126,[1]电视清单!C:F,2,0))</f>
        <v>CETV2</v>
      </c>
      <c r="D126" s="2" t="str">
        <f>IF(B126="","",VLOOKUP(B126,[1]电视清单!C:F,3,0))</f>
        <v>CETV2.png</v>
      </c>
      <c r="E126" s="2" t="str">
        <f>IF(B126="","",VLOOKUP(B126,[1]电视清单!C:F,4,0))</f>
        <v>卫视</v>
      </c>
      <c r="F126" s="2" t="s">
        <v>14</v>
      </c>
      <c r="G126" s="2" t="s">
        <v>15</v>
      </c>
      <c r="H126" s="2" t="s">
        <v>16</v>
      </c>
      <c r="I126" s="2" t="s">
        <v>17</v>
      </c>
      <c r="J126" s="2" t="s">
        <v>18</v>
      </c>
      <c r="K126" s="2" t="s">
        <v>19</v>
      </c>
      <c r="L126" s="2" t="s">
        <v>20</v>
      </c>
    </row>
    <row r="127" spans="1:12" x14ac:dyDescent="0.2">
      <c r="A127" s="2" t="s">
        <v>250</v>
      </c>
      <c r="B127" s="2" t="s">
        <v>251</v>
      </c>
      <c r="C127" s="2" t="str">
        <f>IF(B127="","",VLOOKUP(B127,[1]电视清单!C:F,2,0))</f>
        <v>嘉佳卡通</v>
      </c>
      <c r="D127" s="2" t="str">
        <f>IF(B127="","",VLOOKUP(B127,[1]电视清单!C:F,3,0))</f>
        <v>嘉佳卡通.png</v>
      </c>
      <c r="E127" s="2" t="str">
        <f>IF(B127="","",VLOOKUP(B127,[1]电视清单!C:F,4,0))</f>
        <v>付费</v>
      </c>
      <c r="F127" s="2" t="s">
        <v>14</v>
      </c>
      <c r="G127" s="2" t="s">
        <v>15</v>
      </c>
      <c r="H127" s="2" t="s">
        <v>16</v>
      </c>
      <c r="I127" s="2" t="s">
        <v>17</v>
      </c>
      <c r="J127" s="2" t="s">
        <v>18</v>
      </c>
      <c r="K127" s="2" t="s">
        <v>19</v>
      </c>
      <c r="L127" s="2" t="s">
        <v>20</v>
      </c>
    </row>
    <row r="128" spans="1:12" x14ac:dyDescent="0.2">
      <c r="A128" s="2" t="s">
        <v>252</v>
      </c>
      <c r="B128" s="2" t="s">
        <v>253</v>
      </c>
      <c r="C128" s="2" t="str">
        <f>IF(B128="","",VLOOKUP(B128,[1]电视清单!C:F,2,0))</f>
        <v>卡酷少儿</v>
      </c>
      <c r="D128" s="2" t="str">
        <f>IF(B128="","",VLOOKUP(B128,[1]电视清单!C:F,3,0))</f>
        <v>卡酷少儿.png</v>
      </c>
      <c r="E128" s="2" t="str">
        <f>IF(B128="","",VLOOKUP(B128,[1]电视清单!C:F,4,0))</f>
        <v>付费</v>
      </c>
      <c r="F128" s="2" t="s">
        <v>14</v>
      </c>
      <c r="G128" s="2" t="s">
        <v>15</v>
      </c>
      <c r="H128" s="2" t="s">
        <v>16</v>
      </c>
      <c r="I128" s="2" t="s">
        <v>17</v>
      </c>
      <c r="J128" s="2" t="s">
        <v>18</v>
      </c>
      <c r="K128" s="2" t="s">
        <v>19</v>
      </c>
      <c r="L128" s="2" t="s">
        <v>20</v>
      </c>
    </row>
    <row r="129" spans="1:12" x14ac:dyDescent="0.2">
      <c r="A129" s="2" t="s">
        <v>254</v>
      </c>
      <c r="B129" s="2" t="s">
        <v>255</v>
      </c>
      <c r="C129" s="2" t="str">
        <f>IF(B129="","",VLOOKUP(B129,[1]电视清单!C:F,2,0))</f>
        <v>河北卫视</v>
      </c>
      <c r="D129" s="2" t="str">
        <f>IF(B129="","",VLOOKUP(B129,[1]电视清单!C:F,3,0))</f>
        <v>河北卫视.png</v>
      </c>
      <c r="E129" s="2" t="str">
        <f>IF(B129="","",VLOOKUP(B129,[1]电视清单!C:F,4,0))</f>
        <v>卫视</v>
      </c>
      <c r="F129" s="2" t="s">
        <v>39</v>
      </c>
      <c r="G129" s="2" t="s">
        <v>40</v>
      </c>
      <c r="H129" s="2" t="s">
        <v>16</v>
      </c>
      <c r="I129" s="2" t="s">
        <v>17</v>
      </c>
      <c r="J129" s="2" t="s">
        <v>18</v>
      </c>
      <c r="K129" s="2" t="s">
        <v>19</v>
      </c>
      <c r="L129" s="2" t="s">
        <v>20</v>
      </c>
    </row>
    <row r="130" spans="1:12" x14ac:dyDescent="0.2">
      <c r="A130" s="2" t="s">
        <v>256</v>
      </c>
      <c r="B130" s="3" t="s">
        <v>257</v>
      </c>
      <c r="C130" s="2" t="str">
        <f>IF(B130="","",VLOOKUP(B130,[1]电视清单!C:F,2,0))</f>
        <v>金鹰纪实</v>
      </c>
      <c r="D130" s="2" t="str">
        <f>IF(B130="","",VLOOKUP(B130,[1]电视清单!C:F,3,0))</f>
        <v>金鹰纪实.png</v>
      </c>
      <c r="E130" s="2" t="str">
        <f>IF(B130="","",VLOOKUP(B130,[1]电视清单!C:F,4,0))</f>
        <v>付费</v>
      </c>
      <c r="F130" s="2" t="s">
        <v>39</v>
      </c>
      <c r="G130" s="2" t="s">
        <v>40</v>
      </c>
      <c r="H130" s="2" t="s">
        <v>16</v>
      </c>
      <c r="I130" s="2" t="s">
        <v>17</v>
      </c>
      <c r="J130" s="2" t="s">
        <v>18</v>
      </c>
      <c r="K130" s="2" t="s">
        <v>19</v>
      </c>
      <c r="L130" s="2" t="s">
        <v>20</v>
      </c>
    </row>
    <row r="131" spans="1:12" x14ac:dyDescent="0.2">
      <c r="A131" s="2" t="s">
        <v>258</v>
      </c>
      <c r="B131" s="3" t="s">
        <v>174</v>
      </c>
      <c r="C131" s="2" t="str">
        <f>IF(B131="","",VLOOKUP(B131,[1]电视清单!C:F,2,0))</f>
        <v>哈哈炫动</v>
      </c>
      <c r="D131" s="2" t="str">
        <f>IF(B131="","",VLOOKUP(B131,[1]电视清单!C:F,3,0))</f>
        <v>哈哈炫动.png</v>
      </c>
      <c r="E131" s="2" t="str">
        <f>IF(B131="","",VLOOKUP(B131,[1]电视清单!C:F,4,0))</f>
        <v>卫视</v>
      </c>
      <c r="F131" s="2" t="s">
        <v>39</v>
      </c>
      <c r="G131" s="2" t="s">
        <v>40</v>
      </c>
      <c r="H131" s="2" t="s">
        <v>16</v>
      </c>
      <c r="I131" s="2" t="s">
        <v>17</v>
      </c>
      <c r="J131" s="2" t="s">
        <v>18</v>
      </c>
      <c r="K131" s="2" t="s">
        <v>19</v>
      </c>
      <c r="L131" s="2" t="s">
        <v>20</v>
      </c>
    </row>
    <row r="132" spans="1:12" x14ac:dyDescent="0.2">
      <c r="A132" s="2" t="s">
        <v>259</v>
      </c>
      <c r="B132" s="2" t="s">
        <v>260</v>
      </c>
      <c r="C132" s="2" t="str">
        <f>IF(B132="","",VLOOKUP(B132,[1]电视清单!C:F,2,0))</f>
        <v>茶频道</v>
      </c>
      <c r="D132" s="2" t="str">
        <f>IF(B132="","",VLOOKUP(B132,[1]电视清单!C:F,3,0))</f>
        <v>茶频道.png</v>
      </c>
      <c r="E132" s="2" t="str">
        <f>IF(B132="","",VLOOKUP(B132,[1]电视清单!C:F,4,0))</f>
        <v>付费</v>
      </c>
      <c r="F132" s="2" t="s">
        <v>39</v>
      </c>
      <c r="G132" s="2" t="s">
        <v>40</v>
      </c>
      <c r="H132" s="2" t="s">
        <v>16</v>
      </c>
      <c r="I132" s="2" t="s">
        <v>17</v>
      </c>
      <c r="J132" s="2" t="s">
        <v>18</v>
      </c>
      <c r="K132" s="2" t="s">
        <v>19</v>
      </c>
      <c r="L132" s="2" t="s">
        <v>20</v>
      </c>
    </row>
    <row r="133" spans="1:12" x14ac:dyDescent="0.2">
      <c r="A133" s="2" t="s">
        <v>261</v>
      </c>
      <c r="B133" s="3" t="s">
        <v>262</v>
      </c>
      <c r="C133" s="2" t="str">
        <f>IF(B133="","",VLOOKUP(B133,[1]电视清单!C:F,2,0))</f>
        <v>快乐垂钓</v>
      </c>
      <c r="D133" s="2" t="str">
        <f>IF(B133="","",VLOOKUP(B133,[1]电视清单!C:F,3,0))</f>
        <v>快乐垂钓.png</v>
      </c>
      <c r="E133" s="2" t="str">
        <f>IF(B133="","",VLOOKUP(B133,[1]电视清单!C:F,4,0))</f>
        <v>付费</v>
      </c>
      <c r="F133" s="2" t="s">
        <v>39</v>
      </c>
      <c r="G133" s="2" t="s">
        <v>40</v>
      </c>
      <c r="H133" s="2" t="s">
        <v>16</v>
      </c>
      <c r="I133" s="2" t="s">
        <v>17</v>
      </c>
      <c r="J133" s="2" t="s">
        <v>18</v>
      </c>
      <c r="K133" s="2" t="s">
        <v>19</v>
      </c>
      <c r="L133" s="2" t="s">
        <v>20</v>
      </c>
    </row>
    <row r="134" spans="1:12" x14ac:dyDescent="0.2">
      <c r="A134" s="2" t="s">
        <v>263</v>
      </c>
      <c r="B134" s="2" t="s">
        <v>264</v>
      </c>
      <c r="C134" s="2" t="str">
        <f>IF(B134="","",VLOOKUP(B134,[1]电视清单!C:F,2,0))</f>
        <v>CCTV7</v>
      </c>
      <c r="D134" s="2" t="str">
        <f>IF(B134="","",VLOOKUP(B134,[1]电视清单!C:F,3,0))</f>
        <v>CCTV7.png</v>
      </c>
      <c r="E134" s="2" t="str">
        <f>IF(B134="","",VLOOKUP(B134,[1]电视清单!C:F,4,0))</f>
        <v>央视</v>
      </c>
      <c r="F134" s="2" t="s">
        <v>39</v>
      </c>
      <c r="G134" s="2" t="s">
        <v>40</v>
      </c>
      <c r="H134" s="2" t="s">
        <v>16</v>
      </c>
      <c r="I134" s="2" t="s">
        <v>17</v>
      </c>
      <c r="J134" s="2" t="s">
        <v>18</v>
      </c>
      <c r="K134" s="2" t="s">
        <v>19</v>
      </c>
      <c r="L134" s="2" t="s">
        <v>20</v>
      </c>
    </row>
    <row r="135" spans="1:12" x14ac:dyDescent="0.2">
      <c r="A135" s="2" t="s">
        <v>265</v>
      </c>
      <c r="B135" s="2" t="s">
        <v>266</v>
      </c>
      <c r="C135" s="2" t="str">
        <f>IF(B135="","",VLOOKUP(B135,[1]电视清单!C:F,2,0))</f>
        <v>CCTV9</v>
      </c>
      <c r="D135" s="2" t="str">
        <f>IF(B135="","",VLOOKUP(B135,[1]电视清单!C:F,3,0))</f>
        <v>CCTV9.png</v>
      </c>
      <c r="E135" s="2" t="str">
        <f>IF(B135="","",VLOOKUP(B135,[1]电视清单!C:F,4,0))</f>
        <v>央视</v>
      </c>
      <c r="F135" s="2" t="s">
        <v>39</v>
      </c>
      <c r="G135" s="2" t="s">
        <v>40</v>
      </c>
      <c r="H135" s="2" t="s">
        <v>16</v>
      </c>
      <c r="I135" s="2" t="s">
        <v>17</v>
      </c>
      <c r="J135" s="2" t="s">
        <v>18</v>
      </c>
      <c r="K135" s="2" t="s">
        <v>19</v>
      </c>
      <c r="L135" s="2" t="s">
        <v>20</v>
      </c>
    </row>
    <row r="136" spans="1:12" x14ac:dyDescent="0.2">
      <c r="A136" s="2" t="s">
        <v>267</v>
      </c>
      <c r="B136" s="2" t="s">
        <v>268</v>
      </c>
      <c r="C136" s="2" t="str">
        <f>IF(B136="","",VLOOKUP(B136,[1]电视清单!C:F,2,0))</f>
        <v>CCTV10</v>
      </c>
      <c r="D136" s="2" t="str">
        <f>IF(B136="","",VLOOKUP(B136,[1]电视清单!C:F,3,0))</f>
        <v>CCTV10.png</v>
      </c>
      <c r="E136" s="2" t="str">
        <f>IF(B136="","",VLOOKUP(B136,[1]电视清单!C:F,4,0))</f>
        <v>央视</v>
      </c>
      <c r="F136" s="2" t="s">
        <v>39</v>
      </c>
      <c r="G136" s="2" t="s">
        <v>40</v>
      </c>
      <c r="H136" s="2" t="s">
        <v>16</v>
      </c>
      <c r="I136" s="2" t="s">
        <v>17</v>
      </c>
      <c r="J136" s="2" t="s">
        <v>18</v>
      </c>
      <c r="K136" s="2" t="s">
        <v>19</v>
      </c>
      <c r="L136" s="2" t="s">
        <v>20</v>
      </c>
    </row>
    <row r="137" spans="1:12" x14ac:dyDescent="0.2">
      <c r="A137" s="2" t="s">
        <v>269</v>
      </c>
      <c r="B137" s="2" t="s">
        <v>270</v>
      </c>
      <c r="C137" s="2" t="str">
        <f>IF(B137="","",VLOOKUP(B137,[1]电视清单!C:F,2,0))</f>
        <v>CCTV12</v>
      </c>
      <c r="D137" s="2" t="str">
        <f>IF(B137="","",VLOOKUP(B137,[1]电视清单!C:F,3,0))</f>
        <v>CCTV12.png</v>
      </c>
      <c r="E137" s="2" t="str">
        <f>IF(B137="","",VLOOKUP(B137,[1]电视清单!C:F,4,0))</f>
        <v>央视</v>
      </c>
      <c r="F137" s="2" t="s">
        <v>39</v>
      </c>
      <c r="G137" s="2" t="s">
        <v>40</v>
      </c>
      <c r="H137" s="2" t="s">
        <v>16</v>
      </c>
      <c r="I137" s="2" t="s">
        <v>17</v>
      </c>
      <c r="J137" s="2" t="s">
        <v>18</v>
      </c>
      <c r="K137" s="2" t="s">
        <v>19</v>
      </c>
      <c r="L137" s="2" t="s">
        <v>20</v>
      </c>
    </row>
    <row r="138" spans="1:12" x14ac:dyDescent="0.2">
      <c r="A138" s="2" t="s">
        <v>271</v>
      </c>
      <c r="B138" s="2" t="s">
        <v>272</v>
      </c>
      <c r="C138" s="2" t="str">
        <f>IF(B138="","",VLOOKUP(B138,[1]电视清单!C:F,2,0))</f>
        <v>CCTV14</v>
      </c>
      <c r="D138" s="2" t="str">
        <f>IF(B138="","",VLOOKUP(B138,[1]电视清单!C:F,3,0))</f>
        <v>CCTV14.png</v>
      </c>
      <c r="E138" s="2" t="str">
        <f>IF(B138="","",VLOOKUP(B138,[1]电视清单!C:F,4,0))</f>
        <v>央视</v>
      </c>
      <c r="F138" s="2" t="s">
        <v>39</v>
      </c>
      <c r="G138" s="2" t="s">
        <v>40</v>
      </c>
      <c r="H138" s="2" t="s">
        <v>16</v>
      </c>
      <c r="I138" s="2" t="s">
        <v>17</v>
      </c>
      <c r="J138" s="2" t="s">
        <v>18</v>
      </c>
      <c r="K138" s="2" t="s">
        <v>19</v>
      </c>
      <c r="L138" s="2" t="s">
        <v>20</v>
      </c>
    </row>
    <row r="139" spans="1:12" x14ac:dyDescent="0.2">
      <c r="A139" s="2" t="s">
        <v>273</v>
      </c>
      <c r="B139" s="2" t="s">
        <v>274</v>
      </c>
      <c r="C139" s="2" t="str">
        <f>IF(B139="","",VLOOKUP(B139,[1]电视清单!C:F,2,0))</f>
        <v>CCTV17</v>
      </c>
      <c r="D139" s="2" t="str">
        <f>IF(B139="","",VLOOKUP(B139,[1]电视清单!C:F,3,0))</f>
        <v>CCTV17.png</v>
      </c>
      <c r="E139" s="2" t="str">
        <f>IF(B139="","",VLOOKUP(B139,[1]电视清单!C:F,4,0))</f>
        <v>央视</v>
      </c>
      <c r="F139" s="2" t="s">
        <v>39</v>
      </c>
      <c r="G139" s="2" t="s">
        <v>40</v>
      </c>
      <c r="H139" s="2" t="s">
        <v>16</v>
      </c>
      <c r="I139" s="2" t="s">
        <v>17</v>
      </c>
      <c r="J139" s="2" t="s">
        <v>18</v>
      </c>
      <c r="K139" s="2" t="s">
        <v>19</v>
      </c>
      <c r="L139" s="2" t="s">
        <v>20</v>
      </c>
    </row>
    <row r="140" spans="1:12" x14ac:dyDescent="0.2">
      <c r="A140" s="2" t="s">
        <v>275</v>
      </c>
      <c r="B140" s="2" t="s">
        <v>276</v>
      </c>
      <c r="C140" s="2" t="str">
        <f>IF(B140="","",VLOOKUP(B140,[1]电视清单!C:F,2,0))</f>
        <v>CCTV9</v>
      </c>
      <c r="D140" s="2" t="str">
        <f>IF(B140="","",VLOOKUP(B140,[1]电视清单!C:F,3,0))</f>
        <v>CCTV9.png</v>
      </c>
      <c r="E140" s="2" t="str">
        <f>IF(B140="","",VLOOKUP(B140,[1]电视清单!C:F,4,0))</f>
        <v>央视</v>
      </c>
      <c r="F140" s="2" t="s">
        <v>14</v>
      </c>
      <c r="G140" s="2" t="s">
        <v>15</v>
      </c>
      <c r="H140" s="2" t="s">
        <v>16</v>
      </c>
      <c r="I140" s="2" t="s">
        <v>17</v>
      </c>
      <c r="J140" s="2" t="s">
        <v>18</v>
      </c>
      <c r="K140" s="2" t="s">
        <v>19</v>
      </c>
      <c r="L140" s="2" t="s">
        <v>20</v>
      </c>
    </row>
    <row r="141" spans="1:12" x14ac:dyDescent="0.2">
      <c r="A141" s="2" t="s">
        <v>277</v>
      </c>
      <c r="B141" s="2" t="s">
        <v>278</v>
      </c>
      <c r="C141" s="2" t="str">
        <f>IF(B141="","",VLOOKUP(B141,[1]电视清单!C:F,2,0))</f>
        <v>CCTV17</v>
      </c>
      <c r="D141" s="2" t="str">
        <f>IF(B141="","",VLOOKUP(B141,[1]电视清单!C:F,3,0))</f>
        <v>CCTV17.png</v>
      </c>
      <c r="E141" s="2" t="str">
        <f>IF(B141="","",VLOOKUP(B141,[1]电视清单!C:F,4,0))</f>
        <v>央视</v>
      </c>
      <c r="F141" s="2" t="s">
        <v>14</v>
      </c>
      <c r="G141" s="2" t="s">
        <v>15</v>
      </c>
      <c r="H141" s="2" t="s">
        <v>16</v>
      </c>
      <c r="I141" s="2" t="s">
        <v>17</v>
      </c>
      <c r="J141" s="2" t="s">
        <v>18</v>
      </c>
      <c r="K141" s="2" t="s">
        <v>19</v>
      </c>
      <c r="L141" s="2" t="s">
        <v>20</v>
      </c>
    </row>
    <row r="142" spans="1:12" x14ac:dyDescent="0.2">
      <c r="A142" s="2" t="s">
        <v>279</v>
      </c>
      <c r="B142" s="3" t="s">
        <v>253</v>
      </c>
      <c r="C142" s="2" t="str">
        <f>IF(B142="","",VLOOKUP(B142,[1]电视清单!C:F,2,0))</f>
        <v>卡酷少儿</v>
      </c>
      <c r="D142" s="2" t="str">
        <f>IF(B142="","",VLOOKUP(B142,[1]电视清单!C:F,3,0))</f>
        <v>卡酷少儿.png</v>
      </c>
      <c r="E142" s="2" t="str">
        <f>IF(B142="","",VLOOKUP(B142,[1]电视清单!C:F,4,0))</f>
        <v>付费</v>
      </c>
      <c r="F142" s="2" t="s">
        <v>39</v>
      </c>
      <c r="G142" s="2" t="s">
        <v>40</v>
      </c>
      <c r="H142" s="2" t="s">
        <v>16</v>
      </c>
      <c r="I142" s="2" t="s">
        <v>17</v>
      </c>
      <c r="J142" s="2" t="s">
        <v>18</v>
      </c>
      <c r="K142" s="2" t="s">
        <v>19</v>
      </c>
      <c r="L142" s="2" t="s">
        <v>20</v>
      </c>
    </row>
    <row r="143" spans="1:12" x14ac:dyDescent="0.2">
      <c r="A143" s="2" t="s">
        <v>280</v>
      </c>
      <c r="B143" s="2" t="s">
        <v>281</v>
      </c>
      <c r="C143" s="2" t="str">
        <f>IF(B143="","",VLOOKUP(B143,[1]电视清单!C:F,2,0))</f>
        <v>CCTV16</v>
      </c>
      <c r="D143" s="2" t="str">
        <f>IF(B143="","",VLOOKUP(B143,[1]电视清单!C:F,3,0))</f>
        <v>CCTV16.png</v>
      </c>
      <c r="E143" s="2" t="str">
        <f>IF(B143="","",VLOOKUP(B143,[1]电视清单!C:F,4,0))</f>
        <v>央视</v>
      </c>
      <c r="F143" s="2" t="s">
        <v>39</v>
      </c>
      <c r="G143" s="2" t="s">
        <v>40</v>
      </c>
      <c r="H143" s="2" t="s">
        <v>16</v>
      </c>
      <c r="I143" s="2" t="s">
        <v>17</v>
      </c>
      <c r="J143" s="2" t="s">
        <v>18</v>
      </c>
      <c r="K143" s="2" t="s">
        <v>19</v>
      </c>
      <c r="L143" s="2" t="s">
        <v>20</v>
      </c>
    </row>
    <row r="144" spans="1:12" x14ac:dyDescent="0.2">
      <c r="A144" s="2" t="s">
        <v>282</v>
      </c>
      <c r="B144" s="2" t="s">
        <v>283</v>
      </c>
      <c r="C144" s="2" t="str">
        <f>IF(B144="","",VLOOKUP(B144,[1]电视清单!C:F,2,0))</f>
        <v>CCTV16</v>
      </c>
      <c r="D144" s="2" t="str">
        <f>IF(B144="","",VLOOKUP(B144,[1]电视清单!C:F,3,0))</f>
        <v>CCTV16.png</v>
      </c>
      <c r="E144" s="2" t="str">
        <f>IF(B144="","",VLOOKUP(B144,[1]电视清单!C:F,4,0))</f>
        <v>央视</v>
      </c>
      <c r="F144" s="2" t="s">
        <v>284</v>
      </c>
      <c r="G144" s="2" t="s">
        <v>285</v>
      </c>
      <c r="H144" s="2" t="s">
        <v>16</v>
      </c>
      <c r="I144" s="2" t="s">
        <v>17</v>
      </c>
      <c r="J144" s="2" t="s">
        <v>286</v>
      </c>
      <c r="K144" s="2" t="s">
        <v>19</v>
      </c>
      <c r="L144" s="2" t="s">
        <v>20</v>
      </c>
    </row>
    <row r="145" spans="1:12" x14ac:dyDescent="0.2">
      <c r="A145" s="2" t="s">
        <v>287</v>
      </c>
      <c r="B145" s="2" t="s">
        <v>86</v>
      </c>
      <c r="C145" s="2" t="str">
        <f>IF(B145="","",VLOOKUP(B145,[1]电视清单!C:F,2,0))</f>
        <v>上海教育</v>
      </c>
      <c r="D145" s="2" t="str">
        <f>IF(B145="","",VLOOKUP(B145,[1]电视清单!C:F,3,0))</f>
        <v>上海教育.png</v>
      </c>
      <c r="E145" s="2" t="str">
        <f>IF(B145="","",VLOOKUP(B145,[1]电视清单!C:F,4,0))</f>
        <v>上海</v>
      </c>
      <c r="F145" s="2" t="s">
        <v>39</v>
      </c>
      <c r="G145" s="2" t="s">
        <v>40</v>
      </c>
      <c r="H145" s="2" t="s">
        <v>16</v>
      </c>
      <c r="I145" s="2" t="s">
        <v>17</v>
      </c>
      <c r="J145" s="2" t="s">
        <v>18</v>
      </c>
      <c r="K145" s="2" t="s">
        <v>19</v>
      </c>
      <c r="L145" s="2" t="s">
        <v>20</v>
      </c>
    </row>
    <row r="146" spans="1:12" x14ac:dyDescent="0.2">
      <c r="A146" s="2" t="s">
        <v>288</v>
      </c>
      <c r="B146" s="2" t="s">
        <v>289</v>
      </c>
      <c r="C146" s="2" t="str">
        <f>IF(B146="","",VLOOKUP(B146,[1]电视清单!C:F,2,0))</f>
        <v>家庭理财</v>
      </c>
      <c r="D146" s="2" t="str">
        <f>IF(B146="","",VLOOKUP(B146,[1]电视清单!C:F,3,0))</f>
        <v>家庭理财.png</v>
      </c>
      <c r="E146" s="2" t="str">
        <f>IF(B146="","",VLOOKUP(B146,[1]电视清单!C:F,4,0))</f>
        <v>江苏</v>
      </c>
      <c r="F146" s="2" t="s">
        <v>14</v>
      </c>
      <c r="G146" s="2" t="s">
        <v>15</v>
      </c>
      <c r="H146" s="2" t="s">
        <v>16</v>
      </c>
      <c r="I146" s="2" t="s">
        <v>17</v>
      </c>
      <c r="J146" s="2" t="s">
        <v>18</v>
      </c>
      <c r="K146" s="2" t="s">
        <v>19</v>
      </c>
      <c r="L146" s="2" t="s">
        <v>20</v>
      </c>
    </row>
    <row r="147" spans="1:12" x14ac:dyDescent="0.2">
      <c r="A147" s="2" t="s">
        <v>290</v>
      </c>
      <c r="B147" s="2" t="s">
        <v>291</v>
      </c>
      <c r="C147" s="2" t="str">
        <f>IF(B147="","",VLOOKUP(B147,[1]电视清单!C:F,2,0))</f>
        <v>甘肃卫视</v>
      </c>
      <c r="D147" s="2" t="str">
        <f>IF(B147="","",VLOOKUP(B147,[1]电视清单!C:F,3,0))</f>
        <v>甘肃卫视.png</v>
      </c>
      <c r="E147" s="2" t="str">
        <f>IF(B147="","",VLOOKUP(B147,[1]电视清单!C:F,4,0))</f>
        <v>卫视</v>
      </c>
      <c r="F147" s="2" t="s">
        <v>39</v>
      </c>
      <c r="G147" s="2" t="s">
        <v>40</v>
      </c>
      <c r="H147" s="2" t="s">
        <v>16</v>
      </c>
      <c r="I147" s="2" t="s">
        <v>17</v>
      </c>
      <c r="J147" s="2" t="s">
        <v>18</v>
      </c>
      <c r="K147" s="2" t="s">
        <v>19</v>
      </c>
      <c r="L147" s="2" t="s">
        <v>20</v>
      </c>
    </row>
    <row r="148" spans="1:12" x14ac:dyDescent="0.2">
      <c r="A148" s="2" t="s">
        <v>292</v>
      </c>
      <c r="B148" s="2" t="s">
        <v>293</v>
      </c>
      <c r="C148" s="2" t="str">
        <f>IF(B148="","",VLOOKUP(B148,[1]电视清单!C:F,2,0))</f>
        <v>CCTV11</v>
      </c>
      <c r="D148" s="2" t="str">
        <f>IF(B148="","",VLOOKUP(B148,[1]电视清单!C:F,3,0))</f>
        <v>CCTV11.png</v>
      </c>
      <c r="E148" s="2" t="str">
        <f>IF(B148="","",VLOOKUP(B148,[1]电视清单!C:F,4,0))</f>
        <v>央视</v>
      </c>
      <c r="F148" s="2" t="s">
        <v>39</v>
      </c>
      <c r="G148" s="2" t="s">
        <v>40</v>
      </c>
      <c r="H148" s="2" t="s">
        <v>16</v>
      </c>
      <c r="I148" s="2" t="s">
        <v>17</v>
      </c>
      <c r="J148" s="2" t="s">
        <v>18</v>
      </c>
      <c r="K148" s="2" t="s">
        <v>19</v>
      </c>
      <c r="L148" s="2" t="s">
        <v>20</v>
      </c>
    </row>
    <row r="149" spans="1:12" x14ac:dyDescent="0.2">
      <c r="A149" s="2" t="s">
        <v>294</v>
      </c>
      <c r="B149" s="3" t="s">
        <v>295</v>
      </c>
      <c r="C149" s="2" t="str">
        <f>IF(B149="","",VLOOKUP(B149,[1]电视清单!C:F,2,0))</f>
        <v>东方财经</v>
      </c>
      <c r="D149" s="2" t="str">
        <f>IF(B149="","",VLOOKUP(B149,[1]电视清单!C:F,3,0))</f>
        <v>东方财经.png</v>
      </c>
      <c r="E149" s="2" t="str">
        <f>IF(B149="","",VLOOKUP(B149,[1]电视清单!C:F,4,0))</f>
        <v>其他</v>
      </c>
      <c r="F149" s="2" t="s">
        <v>39</v>
      </c>
      <c r="G149" s="2" t="s">
        <v>40</v>
      </c>
      <c r="H149" s="2" t="s">
        <v>16</v>
      </c>
      <c r="I149" s="2" t="s">
        <v>17</v>
      </c>
      <c r="J149" s="2" t="s">
        <v>18</v>
      </c>
      <c r="K149" s="2" t="s">
        <v>19</v>
      </c>
      <c r="L149" s="2" t="s">
        <v>20</v>
      </c>
    </row>
    <row r="150" spans="1:12" x14ac:dyDescent="0.2">
      <c r="A150" s="2" t="s">
        <v>296</v>
      </c>
      <c r="B150" s="2" t="s">
        <v>297</v>
      </c>
      <c r="C150" s="2" t="str">
        <f>IF(B150="","",VLOOKUP(B150,[1]电视清单!C:F,2,0))</f>
        <v>CCTV13</v>
      </c>
      <c r="D150" s="2" t="str">
        <f>IF(B150="","",VLOOKUP(B150,[1]电视清单!C:F,3,0))</f>
        <v>CCTV13.png</v>
      </c>
      <c r="E150" s="2" t="str">
        <f>IF(B150="","",VLOOKUP(B150,[1]电视清单!C:F,4,0))</f>
        <v>央视</v>
      </c>
      <c r="F150" s="2" t="s">
        <v>39</v>
      </c>
      <c r="G150" s="2" t="s">
        <v>40</v>
      </c>
      <c r="H150" s="2" t="s">
        <v>16</v>
      </c>
      <c r="I150" s="2" t="s">
        <v>17</v>
      </c>
      <c r="J150" s="2" t="s">
        <v>18</v>
      </c>
      <c r="K150" s="2" t="s">
        <v>19</v>
      </c>
      <c r="L150" s="2" t="s">
        <v>20</v>
      </c>
    </row>
    <row r="151" spans="1:12" x14ac:dyDescent="0.2">
      <c r="A151" s="2" t="s">
        <v>298</v>
      </c>
      <c r="B151" s="2" t="s">
        <v>299</v>
      </c>
      <c r="C151" s="2" t="str">
        <f>IF(B151="","",VLOOKUP(B151,[1]电视清单!C:F,2,0))</f>
        <v>CCTV15</v>
      </c>
      <c r="D151" s="2" t="str">
        <f>IF(B151="","",VLOOKUP(B151,[1]电视清单!C:F,3,0))</f>
        <v>CCTV15.png</v>
      </c>
      <c r="E151" s="2" t="str">
        <f>IF(B151="","",VLOOKUP(B151,[1]电视清单!C:F,4,0))</f>
        <v>央视</v>
      </c>
      <c r="F151" s="2" t="s">
        <v>39</v>
      </c>
      <c r="G151" s="2" t="s">
        <v>40</v>
      </c>
      <c r="H151" s="2" t="s">
        <v>16</v>
      </c>
      <c r="I151" s="2" t="s">
        <v>17</v>
      </c>
      <c r="J151" s="2" t="s">
        <v>18</v>
      </c>
      <c r="K151" s="2" t="s">
        <v>19</v>
      </c>
      <c r="L151" s="2" t="s">
        <v>20</v>
      </c>
    </row>
    <row r="152" spans="1:12" x14ac:dyDescent="0.2">
      <c r="A152" s="2" t="s">
        <v>300</v>
      </c>
      <c r="B152" s="2" t="s">
        <v>301</v>
      </c>
      <c r="C152" s="2" t="str">
        <f>IF(B152="","",VLOOKUP(B152,[1]电视清单!C:F,2,0))</f>
        <v>CETV4</v>
      </c>
      <c r="D152" s="2" t="str">
        <f>IF(B152="","",VLOOKUP(B152,[1]电视清单!C:F,3,0))</f>
        <v>CETV4.png</v>
      </c>
      <c r="E152" s="2" t="str">
        <f>IF(B152="","",VLOOKUP(B152,[1]电视清单!C:F,4,0))</f>
        <v>卫视</v>
      </c>
      <c r="F152" s="2" t="s">
        <v>39</v>
      </c>
      <c r="G152" s="2" t="s">
        <v>40</v>
      </c>
      <c r="H152" s="2" t="s">
        <v>16</v>
      </c>
      <c r="I152" s="2" t="s">
        <v>17</v>
      </c>
      <c r="J152" s="2" t="s">
        <v>18</v>
      </c>
      <c r="K152" s="2" t="s">
        <v>19</v>
      </c>
      <c r="L152" s="2" t="s">
        <v>20</v>
      </c>
    </row>
    <row r="153" spans="1:12" x14ac:dyDescent="0.2">
      <c r="A153" s="2" t="s">
        <v>302</v>
      </c>
      <c r="B153" s="2" t="s">
        <v>200</v>
      </c>
      <c r="C153" s="2" t="str">
        <f>IF(B153="","",VLOOKUP(B153,[1]电视清单!C:F,2,0))</f>
        <v>BesTV</v>
      </c>
      <c r="D153" s="2" t="str">
        <f>IF(B153="","",VLOOKUP(B153,[1]电视清单!C:F,3,0))</f>
        <v>BesTV.png</v>
      </c>
      <c r="E153" s="2" t="str">
        <f>IF(B153="","",VLOOKUP(B153,[1]电视清单!C:F,4,0))</f>
        <v>BesTV</v>
      </c>
      <c r="F153" s="2" t="s">
        <v>39</v>
      </c>
      <c r="G153" s="2" t="s">
        <v>40</v>
      </c>
      <c r="H153" s="2" t="s">
        <v>16</v>
      </c>
      <c r="I153" s="2" t="s">
        <v>17</v>
      </c>
      <c r="J153" s="2" t="s">
        <v>18</v>
      </c>
      <c r="K153" s="2" t="s">
        <v>19</v>
      </c>
      <c r="L153" s="2" t="s">
        <v>20</v>
      </c>
    </row>
    <row r="154" spans="1:12" x14ac:dyDescent="0.2">
      <c r="A154" s="2" t="s">
        <v>303</v>
      </c>
      <c r="B154" s="2" t="s">
        <v>200</v>
      </c>
      <c r="C154" s="2" t="str">
        <f>IF(B154="","",VLOOKUP(B154,[1]电视清单!C:F,2,0))</f>
        <v>BesTV</v>
      </c>
      <c r="D154" s="2" t="str">
        <f>IF(B154="","",VLOOKUP(B154,[1]电视清单!C:F,3,0))</f>
        <v>BesTV.png</v>
      </c>
      <c r="E154" s="2" t="str">
        <f>IF(B154="","",VLOOKUP(B154,[1]电视清单!C:F,4,0))</f>
        <v>BesTV</v>
      </c>
      <c r="F154" s="2" t="s">
        <v>39</v>
      </c>
      <c r="G154" s="2" t="s">
        <v>40</v>
      </c>
      <c r="H154" s="2" t="s">
        <v>16</v>
      </c>
      <c r="I154" s="2" t="s">
        <v>17</v>
      </c>
      <c r="J154" s="2" t="s">
        <v>18</v>
      </c>
      <c r="K154" s="2" t="s">
        <v>19</v>
      </c>
      <c r="L154" s="2" t="s">
        <v>20</v>
      </c>
    </row>
    <row r="155" spans="1:12" x14ac:dyDescent="0.2">
      <c r="A155" s="2" t="s">
        <v>304</v>
      </c>
      <c r="B155" s="2" t="s">
        <v>13</v>
      </c>
      <c r="C155" s="2" t="str">
        <f>IF(B155="","",VLOOKUP(B155,[1]电视清单!C:F,2,0))</f>
        <v>CCTV1</v>
      </c>
      <c r="D155" s="2" t="str">
        <f>IF(B155="","",VLOOKUP(B155,[1]电视清单!C:F,3,0))</f>
        <v>CCTV1.png</v>
      </c>
      <c r="E155" s="2" t="str">
        <f>IF(B155="","",VLOOKUP(B155,[1]电视清单!C:F,4,0))</f>
        <v>央视</v>
      </c>
      <c r="F155" s="2" t="s">
        <v>39</v>
      </c>
      <c r="G155" s="2" t="s">
        <v>40</v>
      </c>
      <c r="H155" s="2" t="s">
        <v>16</v>
      </c>
      <c r="I155" s="2" t="s">
        <v>17</v>
      </c>
      <c r="J155" s="2" t="s">
        <v>18</v>
      </c>
      <c r="K155" s="2" t="s">
        <v>19</v>
      </c>
      <c r="L155" s="2" t="s">
        <v>20</v>
      </c>
    </row>
    <row r="156" spans="1:12" x14ac:dyDescent="0.2">
      <c r="A156" s="2" t="s">
        <v>305</v>
      </c>
      <c r="B156" s="2" t="s">
        <v>13</v>
      </c>
      <c r="C156" s="2" t="str">
        <f>IF(B156="","",VLOOKUP(B156,[1]电视清单!C:F,2,0))</f>
        <v>CCTV1</v>
      </c>
      <c r="D156" s="2" t="str">
        <f>IF(B156="","",VLOOKUP(B156,[1]电视清单!C:F,3,0))</f>
        <v>CCTV1.png</v>
      </c>
      <c r="E156" s="2" t="str">
        <f>IF(B156="","",VLOOKUP(B156,[1]电视清单!C:F,4,0))</f>
        <v>央视</v>
      </c>
      <c r="F156" s="2" t="s">
        <v>39</v>
      </c>
      <c r="G156" s="2" t="s">
        <v>40</v>
      </c>
      <c r="H156" s="2" t="s">
        <v>16</v>
      </c>
      <c r="I156" s="2" t="s">
        <v>17</v>
      </c>
      <c r="J156" s="2" t="s">
        <v>18</v>
      </c>
      <c r="K156" s="2" t="s">
        <v>19</v>
      </c>
      <c r="L156" s="2" t="s">
        <v>20</v>
      </c>
    </row>
    <row r="157" spans="1:12" x14ac:dyDescent="0.2">
      <c r="A157" s="2" t="s">
        <v>306</v>
      </c>
      <c r="B157" s="2" t="s">
        <v>198</v>
      </c>
      <c r="C157" s="2" t="str">
        <f>IF(B157="","",VLOOKUP(B157,[1]电视清单!C:F,2,0))</f>
        <v>央广购物</v>
      </c>
      <c r="D157" s="2" t="str">
        <f>IF(B157="","",VLOOKUP(B157,[1]电视清单!C:F,3,0))</f>
        <v>央广购物.png</v>
      </c>
      <c r="E157" s="2" t="str">
        <f>IF(B157="","",VLOOKUP(B157,[1]电视清单!C:F,4,0))</f>
        <v>付费</v>
      </c>
      <c r="F157" s="2" t="s">
        <v>39</v>
      </c>
      <c r="G157" s="2" t="s">
        <v>40</v>
      </c>
      <c r="H157" s="2" t="s">
        <v>16</v>
      </c>
      <c r="I157" s="2" t="s">
        <v>17</v>
      </c>
      <c r="J157" s="2" t="s">
        <v>18</v>
      </c>
      <c r="K157" s="2" t="s">
        <v>19</v>
      </c>
      <c r="L157" s="2" t="s">
        <v>20</v>
      </c>
    </row>
    <row r="158" spans="1:12" x14ac:dyDescent="0.2">
      <c r="A158" s="2" t="s">
        <v>307</v>
      </c>
      <c r="B158" s="4" t="s">
        <v>308</v>
      </c>
      <c r="C158" s="2" t="e">
        <f>IF(B158="","",VLOOKUP(B158,[1]电视清单!C:F,2,0))</f>
        <v>#N/A</v>
      </c>
      <c r="D158" s="2" t="e">
        <f>IF(B158="","",VLOOKUP(B158,[1]电视清单!C:F,3,0))</f>
        <v>#N/A</v>
      </c>
      <c r="E158" s="2" t="e">
        <f>IF(B158="","",VLOOKUP(B158,[1]电视清单!C:F,4,0))</f>
        <v>#N/A</v>
      </c>
      <c r="F158" s="2" t="s">
        <v>39</v>
      </c>
      <c r="G158" s="2" t="s">
        <v>40</v>
      </c>
      <c r="H158" s="2" t="s">
        <v>16</v>
      </c>
      <c r="I158" s="2" t="s">
        <v>17</v>
      </c>
      <c r="J158" s="2" t="s">
        <v>18</v>
      </c>
      <c r="K158" s="2" t="s">
        <v>19</v>
      </c>
      <c r="L158" s="2" t="s">
        <v>20</v>
      </c>
    </row>
    <row r="159" spans="1:12" x14ac:dyDescent="0.2">
      <c r="A159" s="2" t="s">
        <v>309</v>
      </c>
      <c r="B159" s="2" t="s">
        <v>310</v>
      </c>
      <c r="C159" s="2" t="str">
        <f>IF(B159="","",VLOOKUP(B159,[1]电视清单!C:F,2,0))</f>
        <v>青海卫视</v>
      </c>
      <c r="D159" s="2" t="str">
        <f>IF(B159="","",VLOOKUP(B159,[1]电视清单!C:F,3,0))</f>
        <v>青海卫视.png</v>
      </c>
      <c r="E159" s="2" t="str">
        <f>IF(B159="","",VLOOKUP(B159,[1]电视清单!C:F,4,0))</f>
        <v>卫视</v>
      </c>
      <c r="F159" s="2" t="s">
        <v>39</v>
      </c>
      <c r="G159" s="2" t="s">
        <v>40</v>
      </c>
      <c r="H159" s="2" t="s">
        <v>16</v>
      </c>
      <c r="I159" s="2" t="s">
        <v>17</v>
      </c>
      <c r="J159" s="2" t="s">
        <v>18</v>
      </c>
      <c r="K159" s="2" t="s">
        <v>19</v>
      </c>
      <c r="L159" s="2" t="s">
        <v>20</v>
      </c>
    </row>
    <row r="160" spans="1:12" x14ac:dyDescent="0.2">
      <c r="A160" s="2" t="s">
        <v>311</v>
      </c>
      <c r="B160" s="2" t="s">
        <v>312</v>
      </c>
      <c r="C160" s="2" t="str">
        <f>IF(B160="","",VLOOKUP(B160,[1]电视清单!C:F,2,0))</f>
        <v>CCTV4K</v>
      </c>
      <c r="D160" s="2" t="str">
        <f>IF(B160="","",VLOOKUP(B160,[1]电视清单!C:F,3,0))</f>
        <v>CCTV4K.png</v>
      </c>
      <c r="E160" s="2" t="str">
        <f>IF(B160="","",VLOOKUP(B160,[1]电视清单!C:F,4,0))</f>
        <v>央视</v>
      </c>
      <c r="F160" s="2" t="s">
        <v>284</v>
      </c>
      <c r="G160" s="2" t="s">
        <v>285</v>
      </c>
      <c r="H160" s="2" t="s">
        <v>313</v>
      </c>
      <c r="I160" s="2" t="s">
        <v>17</v>
      </c>
      <c r="J160" s="2" t="s">
        <v>314</v>
      </c>
      <c r="K160" s="2" t="s">
        <v>19</v>
      </c>
      <c r="L160" s="2" t="s">
        <v>20</v>
      </c>
    </row>
    <row r="161" spans="1:12" x14ac:dyDescent="0.2">
      <c r="A161" s="2" t="s">
        <v>315</v>
      </c>
      <c r="B161" s="3" t="s">
        <v>170</v>
      </c>
      <c r="C161" s="2" t="str">
        <f>IF(B161="","",VLOOKUP(B161,[1]电视清单!C:F,2,0))</f>
        <v>金鹰卡通</v>
      </c>
      <c r="D161" s="2" t="str">
        <f>IF(B161="","",VLOOKUP(B161,[1]电视清单!C:F,3,0))</f>
        <v>金鹰卡通.png</v>
      </c>
      <c r="E161" s="2" t="str">
        <f>IF(B161="","",VLOOKUP(B161,[1]电视清单!C:F,4,0))</f>
        <v>卫视</v>
      </c>
      <c r="F161" s="2" t="s">
        <v>39</v>
      </c>
      <c r="G161" s="2" t="s">
        <v>40</v>
      </c>
      <c r="H161" s="2" t="s">
        <v>16</v>
      </c>
      <c r="I161" s="2" t="s">
        <v>17</v>
      </c>
      <c r="J161" s="2" t="s">
        <v>18</v>
      </c>
      <c r="K161" s="2" t="s">
        <v>19</v>
      </c>
      <c r="L161" s="2" t="s">
        <v>20</v>
      </c>
    </row>
    <row r="162" spans="1:12" x14ac:dyDescent="0.2">
      <c r="A162" s="2" t="s">
        <v>316</v>
      </c>
      <c r="B162" s="2" t="s">
        <v>317</v>
      </c>
      <c r="C162" s="2" t="str">
        <f>IF(B162="","",VLOOKUP(B162,[1]电视清单!C:F,2,0))</f>
        <v>延边卫视</v>
      </c>
      <c r="D162" s="2" t="str">
        <f>IF(B162="","",VLOOKUP(B162,[1]电视清单!C:F,3,0))</f>
        <v>延边卫视.png</v>
      </c>
      <c r="E162" s="2" t="str">
        <f>IF(B162="","",VLOOKUP(B162,[1]电视清单!C:F,4,0))</f>
        <v>卫视</v>
      </c>
      <c r="F162" s="2" t="s">
        <v>14</v>
      </c>
      <c r="G162" s="2" t="s">
        <v>15</v>
      </c>
      <c r="H162" s="2" t="s">
        <v>16</v>
      </c>
      <c r="I162" s="2" t="s">
        <v>17</v>
      </c>
      <c r="J162" s="2" t="s">
        <v>18</v>
      </c>
      <c r="K162" s="2" t="s">
        <v>19</v>
      </c>
      <c r="L162" s="2" t="s">
        <v>20</v>
      </c>
    </row>
    <row r="163" spans="1:12" x14ac:dyDescent="0.2">
      <c r="A163" s="2" t="s">
        <v>318</v>
      </c>
      <c r="B163" s="2" t="s">
        <v>225</v>
      </c>
      <c r="C163" s="2" t="str">
        <f>IF(B163="","",VLOOKUP(B163,[1]电视清单!C:F,2,0))</f>
        <v>欢笑剧场</v>
      </c>
      <c r="D163" s="2" t="str">
        <f>IF(B163="","",VLOOKUP(B163,[1]电视清单!C:F,3,0))</f>
        <v>欢笑剧场.png</v>
      </c>
      <c r="E163" s="2" t="str">
        <f>IF(B163="","",VLOOKUP(B163,[1]电视清单!C:F,4,0))</f>
        <v>付费</v>
      </c>
      <c r="F163" s="2" t="s">
        <v>284</v>
      </c>
      <c r="G163" s="2" t="s">
        <v>285</v>
      </c>
      <c r="H163" s="2" t="s">
        <v>313</v>
      </c>
      <c r="I163" s="2" t="s">
        <v>17</v>
      </c>
      <c r="J163" s="2" t="s">
        <v>286</v>
      </c>
      <c r="K163" s="2" t="s">
        <v>19</v>
      </c>
      <c r="L163" s="2" t="s">
        <v>20</v>
      </c>
    </row>
    <row r="164" spans="1:12" x14ac:dyDescent="0.2">
      <c r="A164" s="2" t="s">
        <v>319</v>
      </c>
      <c r="B164" s="2" t="s">
        <v>320</v>
      </c>
      <c r="C164" s="2" t="e">
        <f>IF(B164="","",VLOOKUP(B164,[1]电视清单!C:F,2,0))</f>
        <v>#N/A</v>
      </c>
      <c r="D164" s="2" t="e">
        <f>IF(B164="","",VLOOKUP(B164,[1]电视清单!C:F,3,0))</f>
        <v>#N/A</v>
      </c>
      <c r="E164" s="2" t="e">
        <f>IF(B164="","",VLOOKUP(B164,[1]电视清单!C:F,4,0))</f>
        <v>#N/A</v>
      </c>
      <c r="F164" s="2" t="s">
        <v>284</v>
      </c>
      <c r="G164" s="2" t="s">
        <v>285</v>
      </c>
      <c r="H164" s="2" t="s">
        <v>313</v>
      </c>
      <c r="I164" s="2" t="s">
        <v>17</v>
      </c>
      <c r="J164" s="2" t="s">
        <v>314</v>
      </c>
      <c r="K164" s="2" t="s">
        <v>19</v>
      </c>
      <c r="L164" s="2" t="s">
        <v>20</v>
      </c>
    </row>
    <row r="165" spans="1:12" x14ac:dyDescent="0.2">
      <c r="A165" s="2" t="s">
        <v>321</v>
      </c>
      <c r="B165" s="2" t="s">
        <v>312</v>
      </c>
      <c r="C165" s="2" t="str">
        <f>IF(B165="","",VLOOKUP(B165,[1]电视清单!C:F,2,0))</f>
        <v>CCTV4K</v>
      </c>
      <c r="D165" s="2" t="str">
        <f>IF(B165="","",VLOOKUP(B165,[1]电视清单!C:F,3,0))</f>
        <v>CCTV4K.png</v>
      </c>
      <c r="E165" s="2" t="str">
        <f>IF(B165="","",VLOOKUP(B165,[1]电视清单!C:F,4,0))</f>
        <v>央视</v>
      </c>
      <c r="F165" s="2" t="s">
        <v>284</v>
      </c>
      <c r="G165" s="2" t="s">
        <v>285</v>
      </c>
      <c r="H165" s="2" t="s">
        <v>313</v>
      </c>
      <c r="I165" s="2" t="s">
        <v>17</v>
      </c>
      <c r="J165" s="2" t="s">
        <v>314</v>
      </c>
      <c r="K165" s="2" t="s">
        <v>19</v>
      </c>
      <c r="L165" s="2" t="s">
        <v>20</v>
      </c>
    </row>
    <row r="166" spans="1:12" x14ac:dyDescent="0.2">
      <c r="A166" s="2" t="s">
        <v>322</v>
      </c>
      <c r="B166" s="2" t="s">
        <v>13</v>
      </c>
      <c r="C166" s="2" t="str">
        <f>IF(B166="","",VLOOKUP(B166,[1]电视清单!C:F,2,0))</f>
        <v>CCTV1</v>
      </c>
      <c r="D166" s="2" t="str">
        <f>IF(B166="","",VLOOKUP(B166,[1]电视清单!C:F,3,0))</f>
        <v>CCTV1.png</v>
      </c>
      <c r="E166" s="2" t="str">
        <f>IF(B166="","",VLOOKUP(B166,[1]电视清单!C:F,4,0))</f>
        <v>央视</v>
      </c>
      <c r="F166" s="2" t="s">
        <v>39</v>
      </c>
      <c r="G166" s="2" t="s">
        <v>40</v>
      </c>
      <c r="H166" s="2" t="s">
        <v>16</v>
      </c>
      <c r="I166" s="2" t="s">
        <v>17</v>
      </c>
      <c r="J166" s="2" t="s">
        <v>18</v>
      </c>
      <c r="K166" s="2" t="s">
        <v>19</v>
      </c>
      <c r="L166" s="2" t="s">
        <v>20</v>
      </c>
    </row>
    <row r="167" spans="1:12" x14ac:dyDescent="0.2">
      <c r="A167" s="2" t="s">
        <v>323</v>
      </c>
      <c r="B167" s="2" t="s">
        <v>324</v>
      </c>
      <c r="C167" s="2" t="e">
        <f>IF(B167="","",VLOOKUP(B167,[1]电视清单!C:F,2,0))</f>
        <v>#N/A</v>
      </c>
      <c r="D167" s="2" t="e">
        <f>IF(B167="","",VLOOKUP(B167,[1]电视清单!C:F,3,0))</f>
        <v>#N/A</v>
      </c>
      <c r="E167" s="2" t="e">
        <f>IF(B167="","",VLOOKUP(B167,[1]电视清单!C:F,4,0))</f>
        <v>#N/A</v>
      </c>
      <c r="F167" s="2" t="s">
        <v>284</v>
      </c>
      <c r="G167" s="2" t="s">
        <v>285</v>
      </c>
      <c r="H167" s="2" t="s">
        <v>313</v>
      </c>
      <c r="I167" s="2" t="s">
        <v>17</v>
      </c>
      <c r="J167" s="2" t="s">
        <v>314</v>
      </c>
      <c r="K167" s="2" t="s">
        <v>19</v>
      </c>
      <c r="L167" s="2" t="s">
        <v>20</v>
      </c>
    </row>
    <row r="168" spans="1:12" x14ac:dyDescent="0.2">
      <c r="A168" s="2" t="s">
        <v>325</v>
      </c>
      <c r="B168" s="2" t="s">
        <v>326</v>
      </c>
      <c r="C168" s="2" t="str">
        <f>IF(B168="","",VLOOKUP(B168,[1]电视清单!C:F,2,0))</f>
        <v>内蒙古卫视</v>
      </c>
      <c r="D168" s="2" t="str">
        <f>IF(B168="","",VLOOKUP(B168,[1]电视清单!C:F,3,0))</f>
        <v>内蒙古卫视.png</v>
      </c>
      <c r="E168" s="2" t="str">
        <f>IF(B168="","",VLOOKUP(B168,[1]电视清单!C:F,4,0))</f>
        <v>卫视</v>
      </c>
      <c r="F168" s="2" t="s">
        <v>39</v>
      </c>
      <c r="G168" s="2" t="s">
        <v>40</v>
      </c>
      <c r="H168" s="2" t="s">
        <v>16</v>
      </c>
      <c r="I168" s="2" t="s">
        <v>17</v>
      </c>
      <c r="J168" s="2" t="s">
        <v>18</v>
      </c>
      <c r="K168" s="2" t="s">
        <v>19</v>
      </c>
      <c r="L168" s="2" t="s">
        <v>20</v>
      </c>
    </row>
    <row r="169" spans="1:12" x14ac:dyDescent="0.2">
      <c r="A169" s="2" t="s">
        <v>327</v>
      </c>
      <c r="B169" s="2" t="s">
        <v>328</v>
      </c>
      <c r="C169" s="2" t="e">
        <f>IF(B169="","",VLOOKUP(B169,[1]电视清单!C:F,2,0))</f>
        <v>#N/A</v>
      </c>
      <c r="D169" s="2" t="e">
        <f>IF(B169="","",VLOOKUP(B169,[1]电视清单!C:F,3,0))</f>
        <v>#N/A</v>
      </c>
      <c r="E169" s="2" t="e">
        <f>IF(B169="","",VLOOKUP(B169,[1]电视清单!C:F,4,0))</f>
        <v>#N/A</v>
      </c>
      <c r="F169" s="2" t="s">
        <v>284</v>
      </c>
      <c r="G169" s="2" t="s">
        <v>285</v>
      </c>
      <c r="H169" s="2" t="s">
        <v>313</v>
      </c>
      <c r="I169" s="2" t="s">
        <v>17</v>
      </c>
      <c r="J169" s="2" t="s">
        <v>314</v>
      </c>
      <c r="K169" s="2" t="s">
        <v>19</v>
      </c>
      <c r="L169" s="2" t="s">
        <v>20</v>
      </c>
    </row>
    <row r="170" spans="1:12" x14ac:dyDescent="0.2">
      <c r="A170" s="2" t="s">
        <v>329</v>
      </c>
      <c r="B170" s="2" t="s">
        <v>328</v>
      </c>
      <c r="C170" s="2" t="e">
        <f>IF(B170="","",VLOOKUP(B170,[1]电视清单!C:F,2,0))</f>
        <v>#N/A</v>
      </c>
      <c r="D170" s="2" t="e">
        <f>IF(B170="","",VLOOKUP(B170,[1]电视清单!C:F,3,0))</f>
        <v>#N/A</v>
      </c>
      <c r="E170" s="2" t="e">
        <f>IF(B170="","",VLOOKUP(B170,[1]电视清单!C:F,4,0))</f>
        <v>#N/A</v>
      </c>
      <c r="F170" s="2" t="s">
        <v>284</v>
      </c>
      <c r="G170" s="2" t="s">
        <v>285</v>
      </c>
      <c r="H170" s="2" t="s">
        <v>313</v>
      </c>
      <c r="I170" s="2" t="s">
        <v>17</v>
      </c>
      <c r="J170" s="2" t="s">
        <v>314</v>
      </c>
      <c r="K170" s="2" t="s">
        <v>19</v>
      </c>
      <c r="L170" s="2" t="s">
        <v>20</v>
      </c>
    </row>
    <row r="171" spans="1:12" x14ac:dyDescent="0.2">
      <c r="A171" s="2" t="s">
        <v>330</v>
      </c>
      <c r="B171" s="2" t="s">
        <v>324</v>
      </c>
      <c r="C171" s="2" t="e">
        <f>IF(B171="","",VLOOKUP(B171,[1]电视清单!C:F,2,0))</f>
        <v>#N/A</v>
      </c>
      <c r="D171" s="2" t="e">
        <f>IF(B171="","",VLOOKUP(B171,[1]电视清单!C:F,3,0))</f>
        <v>#N/A</v>
      </c>
      <c r="E171" s="2" t="e">
        <f>IF(B171="","",VLOOKUP(B171,[1]电视清单!C:F,4,0))</f>
        <v>#N/A</v>
      </c>
      <c r="F171" s="2" t="s">
        <v>284</v>
      </c>
      <c r="G171" s="2" t="s">
        <v>285</v>
      </c>
      <c r="H171" s="2" t="s">
        <v>313</v>
      </c>
      <c r="I171" s="2" t="s">
        <v>17</v>
      </c>
      <c r="J171" s="2" t="s">
        <v>314</v>
      </c>
      <c r="K171" s="2" t="s">
        <v>19</v>
      </c>
      <c r="L171" s="2" t="s">
        <v>20</v>
      </c>
    </row>
  </sheetData>
  <autoFilter ref="A1:L171" xr:uid="{72BB94FA-D99D-4CF3-8B8C-B2F9619403C6}"/>
  <phoneticPr fontId="2" type="noConversion"/>
  <dataValidations count="7">
    <dataValidation type="list" allowBlank="1" showInputMessage="1" showErrorMessage="1" sqref="G1:G1048576" xr:uid="{63E88BBE-039E-4CD5-9C87-149757B9D54A}">
      <formula1>"-,2Mbps,4Mbps,8Mbps,20Mbps"</formula1>
    </dataValidation>
    <dataValidation type="list" allowBlank="1" showInputMessage="1" showErrorMessage="1" sqref="H1:H1048576" xr:uid="{860B9F63-C0B8-4D10-8CBC-1B4A0265B610}">
      <formula1>"-,H264,HEVC"</formula1>
    </dataValidation>
    <dataValidation type="list" allowBlank="1" showInputMessage="1" showErrorMessage="1" sqref="I1:I1048576" xr:uid="{D57BD528-A79A-4299-A0D8-389DACB57837}">
      <formula1>"-,25FPS"</formula1>
    </dataValidation>
    <dataValidation type="list" allowBlank="1" showInputMessage="1" showErrorMessage="1" sqref="F1:F1048576" xr:uid="{FE46D233-6D8B-4DB7-9B9B-DD97C5C9740D}">
      <formula1>"-,720x576,1280x720,1920x1080,3840x2160"</formula1>
    </dataValidation>
    <dataValidation type="list" allowBlank="1" showInputMessage="1" showErrorMessage="1" sqref="J1:J1048576" xr:uid="{79C1104E-279C-4A7C-BFCD-88FEA441D960}">
      <formula1>"AAC,MP2,AC3"</formula1>
    </dataValidation>
    <dataValidation type="list" allowBlank="1" showInputMessage="1" showErrorMessage="1" sqref="L1:L1048576" xr:uid="{F8B7E7BB-0924-47CF-9312-4C34DA2BB08C}">
      <formula1>"立体声,环绕声,中央声道"</formula1>
    </dataValidation>
    <dataValidation type="list" allowBlank="1" showInputMessage="1" showErrorMessage="1" sqref="K1:K1048576" xr:uid="{74F384A2-50A3-4110-9BC9-C8F0F2CE2287}">
      <formula1>"48000Hz,44100Hz,32000Hz"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上海移动</vt:lpstr>
    </vt:vector>
  </TitlesOfParts>
  <Company>VirCloud, LLC.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资讯室</dc:creator>
  <cp:lastModifiedBy>资讯室</cp:lastModifiedBy>
  <dcterms:created xsi:type="dcterms:W3CDTF">2025-08-12T01:50:23Z</dcterms:created>
  <dcterms:modified xsi:type="dcterms:W3CDTF">2025-08-12T01:51:24Z</dcterms:modified>
</cp:coreProperties>
</file>